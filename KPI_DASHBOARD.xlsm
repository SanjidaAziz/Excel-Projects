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S\Exel\project\New folder\"/>
    </mc:Choice>
  </mc:AlternateContent>
  <xr:revisionPtr revIDLastSave="0" documentId="13_ncr:1_{66690DDD-4221-4970-B3F1-FA0841E5DA1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awData" sheetId="3" r:id="rId1"/>
    <sheet name="Dashboard" sheetId="7" r:id="rId2"/>
  </sheets>
  <definedNames>
    <definedName name="EmployeeName">CHOOSE(Dashboard!$E$3,Finance,Operation,HR)</definedName>
    <definedName name="EmpName">CHOOSE(#REF!,Finance,Operation,HR)</definedName>
    <definedName name="EmpName1">CHOOSE(#REF!,Finance,Operation,HR)</definedName>
    <definedName name="Finance">RawData!$A$3:$A$12</definedName>
    <definedName name="Finance_Data">RawData!$B$3:$AE$12</definedName>
    <definedName name="HR">RawData!$A$29:$A$38</definedName>
    <definedName name="HR_Data">RawData!$B$29:$AE$38</definedName>
    <definedName name="Operation">RawData!$A$16:$A$25</definedName>
    <definedName name="Operation_Data">RawData!$B$16:$AE$25</definedName>
    <definedName name="top_emp">MAX((Year&gt;=Dashboard!$C$15)*(Year&lt;=Dashboard!$I$15)*INDIRECT(Dashboard!$R1048576&amp;"_Data"))</definedName>
    <definedName name="Year">RawData!$B$2:$AE$2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5" i="7" l="1" a="1"/>
  <c r="T25" i="7" s="1"/>
  <c r="R25" i="7" a="1"/>
  <c r="R25" i="7" s="1"/>
  <c r="P25" i="7" a="1"/>
  <c r="P25" i="7" s="1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B3" i="3"/>
  <c r="B16" i="3"/>
  <c r="B29" i="3"/>
  <c r="P22" i="7" a="1"/>
  <c r="P22" i="7" s="1"/>
  <c r="N4" i="7"/>
  <c r="K10" i="7" a="1"/>
  <c r="K10" i="7" s="1"/>
  <c r="I15" i="7"/>
  <c r="I19" i="7" s="1"/>
  <c r="D15" i="7"/>
  <c r="D19" i="7" s="1"/>
  <c r="E15" i="7"/>
  <c r="E19" i="7" s="1"/>
  <c r="F15" i="7"/>
  <c r="F19" i="7" s="1"/>
  <c r="G15" i="7"/>
  <c r="G19" i="7" s="1"/>
  <c r="H15" i="7"/>
  <c r="H19" i="7" s="1"/>
  <c r="C15" i="7"/>
  <c r="B16" i="7"/>
  <c r="I27" i="7" l="1"/>
  <c r="U25" i="7" a="1"/>
  <c r="U25" i="7" s="1"/>
  <c r="U33" i="7" a="1"/>
  <c r="U33" i="7" s="1"/>
  <c r="U29" i="7" a="1"/>
  <c r="U29" i="7" s="1"/>
  <c r="U32" i="7" a="1"/>
  <c r="U32" i="7" s="1"/>
  <c r="U28" i="7" a="1"/>
  <c r="U28" i="7" s="1"/>
  <c r="U31" i="7" a="1"/>
  <c r="U31" i="7" s="1"/>
  <c r="U27" i="7" a="1"/>
  <c r="U27" i="7" s="1"/>
  <c r="U34" i="7" a="1"/>
  <c r="U34" i="7" s="1"/>
  <c r="U30" i="7" a="1"/>
  <c r="U30" i="7" s="1"/>
  <c r="U26" i="7" a="1"/>
  <c r="U26" i="7" s="1"/>
  <c r="S33" i="7" a="1"/>
  <c r="S33" i="7" s="1"/>
  <c r="S26" i="7" a="1"/>
  <c r="S26" i="7" s="1"/>
  <c r="S29" i="7" a="1"/>
  <c r="S29" i="7" s="1"/>
  <c r="S32" i="7" a="1"/>
  <c r="S32" i="7" s="1"/>
  <c r="S28" i="7" a="1"/>
  <c r="S28" i="7" s="1"/>
  <c r="S31" i="7" a="1"/>
  <c r="S31" i="7" s="1"/>
  <c r="S27" i="7" a="1"/>
  <c r="S27" i="7" s="1"/>
  <c r="S34" i="7" a="1"/>
  <c r="S34" i="7" s="1"/>
  <c r="S30" i="7" a="1"/>
  <c r="S30" i="7" s="1"/>
  <c r="Q26" i="7" a="1"/>
  <c r="Q26" i="7" s="1"/>
  <c r="S25" i="7" a="1"/>
  <c r="S25" i="7" s="1"/>
  <c r="Q33" i="7" a="1"/>
  <c r="Q33" i="7" s="1"/>
  <c r="Q29" i="7" a="1"/>
  <c r="Q29" i="7" s="1"/>
  <c r="Q32" i="7" a="1"/>
  <c r="Q32" i="7" s="1"/>
  <c r="Q28" i="7" a="1"/>
  <c r="Q28" i="7" s="1"/>
  <c r="Q31" i="7" a="1"/>
  <c r="Q31" i="7" s="1"/>
  <c r="Q27" i="7" a="1"/>
  <c r="Q27" i="7" s="1"/>
  <c r="Q34" i="7" a="1"/>
  <c r="Q34" i="7" s="1"/>
  <c r="Q30" i="7" a="1"/>
  <c r="Q30" i="7" s="1"/>
  <c r="Q25" i="7" a="1"/>
  <c r="Q25" i="7" s="1"/>
  <c r="C19" i="7"/>
  <c r="B26" i="7" s="1" a="1"/>
  <c r="B26" i="7" s="1"/>
  <c r="O3" i="7" a="1"/>
  <c r="R9" i="7"/>
  <c r="O9" i="7"/>
  <c r="Q9" i="7"/>
  <c r="N9" i="7"/>
  <c r="P9" i="7"/>
  <c r="M9" i="7"/>
  <c r="L9" i="7"/>
  <c r="Q24" i="7" l="1"/>
  <c r="R24" i="7" s="1" a="1"/>
  <c r="R24" i="7" s="1"/>
  <c r="Q23" i="7"/>
  <c r="R23" i="7" s="1" a="1"/>
  <c r="R23" i="7" s="1"/>
  <c r="Q22" i="7"/>
  <c r="R22" i="7" s="1"/>
  <c r="O3" i="7"/>
  <c r="C22" i="7" a="1"/>
  <c r="F20" i="7" a="1"/>
  <c r="Q4" i="7" a="1"/>
  <c r="D20" i="7" a="1"/>
  <c r="C21" i="7" a="1"/>
  <c r="G20" i="7" a="1"/>
  <c r="T4" i="7" a="1"/>
  <c r="I21" i="7" a="1"/>
  <c r="O4" i="7" a="1"/>
  <c r="G22" i="7" a="1"/>
  <c r="E20" i="7" a="1"/>
  <c r="D22" i="7" a="1"/>
  <c r="H22" i="7" a="1"/>
  <c r="S4" i="7" a="1"/>
  <c r="E21" i="7" a="1"/>
  <c r="I20" i="7" a="1"/>
  <c r="C20" i="7" a="1"/>
  <c r="U4" i="7" a="1"/>
  <c r="H20" i="7" a="1"/>
  <c r="P4" i="7" a="1"/>
  <c r="D21" i="7" a="1"/>
  <c r="E22" i="7" a="1"/>
  <c r="F22" i="7" a="1"/>
  <c r="R4" i="7" a="1"/>
  <c r="G21" i="7" a="1"/>
  <c r="H21" i="7" a="1"/>
  <c r="F21" i="7" a="1"/>
  <c r="I22" i="7" a="1"/>
  <c r="Q19" i="7" l="1"/>
  <c r="P16" i="7"/>
  <c r="M15" i="7"/>
  <c r="R14" i="7"/>
  <c r="O13" i="7"/>
  <c r="Q11" i="7"/>
  <c r="N10" i="7"/>
  <c r="L17" i="7"/>
  <c r="P19" i="7"/>
  <c r="R17" i="7"/>
  <c r="Q14" i="7"/>
  <c r="P11" i="7"/>
  <c r="M10" i="7"/>
  <c r="M18" i="7"/>
  <c r="O16" i="7"/>
  <c r="N13" i="7"/>
  <c r="L19" i="7"/>
  <c r="L11" i="7"/>
  <c r="R19" i="7"/>
  <c r="Q16" i="7"/>
  <c r="N15" i="7"/>
  <c r="P13" i="7"/>
  <c r="M12" i="7"/>
  <c r="R11" i="7"/>
  <c r="O10" i="7"/>
  <c r="L16" i="7"/>
  <c r="O19" i="7"/>
  <c r="Q17" i="7"/>
  <c r="N16" i="7"/>
  <c r="M13" i="7"/>
  <c r="R12" i="7"/>
  <c r="O11" i="7"/>
  <c r="L15" i="7"/>
  <c r="N19" i="7"/>
  <c r="P17" i="7"/>
  <c r="M16" i="7"/>
  <c r="R15" i="7"/>
  <c r="O14" i="7"/>
  <c r="Q12" i="7"/>
  <c r="N11" i="7"/>
  <c r="L14" i="7"/>
  <c r="M19" i="7"/>
  <c r="R18" i="7"/>
  <c r="O17" i="7"/>
  <c r="Q15" i="7"/>
  <c r="N14" i="7"/>
  <c r="P12" i="7"/>
  <c r="M11" i="7"/>
  <c r="R10" i="7"/>
  <c r="Q18" i="7"/>
  <c r="P4" i="7"/>
  <c r="Q4" i="7"/>
  <c r="T4" i="7"/>
  <c r="U4" i="7"/>
  <c r="R4" i="7"/>
  <c r="S4" i="7"/>
  <c r="O4" i="7"/>
  <c r="C20" i="7"/>
  <c r="P14" i="7"/>
  <c r="L13" i="7"/>
  <c r="N17" i="7"/>
  <c r="P15" i="7"/>
  <c r="M14" i="7"/>
  <c r="R13" i="7"/>
  <c r="O12" i="7"/>
  <c r="Q10" i="7"/>
  <c r="L10" i="7"/>
  <c r="L12" i="7"/>
  <c r="P18" i="7"/>
  <c r="M17" i="7"/>
  <c r="R16" i="7"/>
  <c r="O15" i="7"/>
  <c r="Q13" i="7"/>
  <c r="N12" i="7"/>
  <c r="P10" i="7"/>
  <c r="O18" i="7"/>
  <c r="L18" i="7"/>
  <c r="N18" i="7"/>
  <c r="H21" i="7"/>
  <c r="I21" i="7"/>
  <c r="E21" i="7"/>
  <c r="G21" i="7"/>
  <c r="C21" i="7"/>
  <c r="D21" i="7"/>
  <c r="F21" i="7"/>
  <c r="H22" i="7"/>
  <c r="E22" i="7"/>
  <c r="I22" i="7"/>
  <c r="D22" i="7"/>
  <c r="F22" i="7"/>
  <c r="C22" i="7"/>
  <c r="G22" i="7"/>
  <c r="H20" i="7"/>
  <c r="F20" i="7"/>
  <c r="G20" i="7"/>
  <c r="E20" i="7"/>
  <c r="D20" i="7"/>
  <c r="I20" i="7"/>
  <c r="D16" i="7"/>
  <c r="D17" i="7" s="1"/>
  <c r="E16" i="7"/>
  <c r="E17" i="7" s="1"/>
  <c r="F16" i="7"/>
  <c r="F17" i="7" s="1"/>
  <c r="G16" i="7"/>
  <c r="G17" i="7" s="1"/>
  <c r="C16" i="7"/>
  <c r="C17" i="7" s="1"/>
  <c r="I16" i="7"/>
  <c r="I17" i="7" s="1"/>
  <c r="H16" i="7"/>
  <c r="H17" i="7" s="1"/>
  <c r="S11" i="7" l="1"/>
  <c r="S19" i="7"/>
  <c r="S16" i="7"/>
  <c r="S14" i="7"/>
  <c r="S13" i="7"/>
  <c r="S12" i="7"/>
  <c r="S10" i="7"/>
  <c r="S18" i="7"/>
  <c r="S17" i="7"/>
  <c r="S15" i="7"/>
  <c r="C25" i="7" a="1"/>
  <c r="F23" i="7"/>
  <c r="I23" i="7"/>
  <c r="C23" i="7"/>
  <c r="H23" i="7"/>
  <c r="D23" i="7"/>
  <c r="E23" i="7"/>
  <c r="G23" i="7"/>
  <c r="C33" i="7" l="1"/>
  <c r="D33" i="7"/>
  <c r="E33" i="7"/>
  <c r="F27" i="7"/>
  <c r="F30" i="7"/>
  <c r="F31" i="7"/>
  <c r="F28" i="7"/>
  <c r="F32" i="7"/>
  <c r="F29" i="7"/>
  <c r="C25" i="7"/>
  <c r="F2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<sst xmlns="http://schemas.openxmlformats.org/spreadsheetml/2006/main" count="55" uniqueCount="49">
  <si>
    <t>Finance</t>
  </si>
  <si>
    <t>EMPNAME</t>
  </si>
  <si>
    <t>Operation</t>
  </si>
  <si>
    <t>HR</t>
  </si>
  <si>
    <t>Year</t>
  </si>
  <si>
    <t>YEAR</t>
  </si>
  <si>
    <t>TARGET</t>
  </si>
  <si>
    <t>Employee Name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</si>
  <si>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</si>
  <si>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</si>
  <si>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</si>
  <si>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</si>
  <si>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</si>
  <si>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</si>
  <si>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</si>
  <si>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</si>
  <si>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</si>
  <si>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</si>
  <si>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</si>
  <si>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</si>
  <si>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</si>
  <si>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</si>
  <si>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</si>
  <si>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</si>
  <si>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</si>
  <si>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</si>
  <si>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</si>
  <si>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</si>
  <si>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</si>
  <si>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</si>
  <si>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</si>
  <si>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</si>
  <si>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</si>
  <si>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</si>
  <si>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</si>
  <si>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</si>
  <si>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</si>
  <si>
    <t>FINANCE</t>
  </si>
  <si>
    <t>OPERATION</t>
  </si>
  <si>
    <t>GROSS</t>
  </si>
  <si>
    <t>SPARK LINE</t>
  </si>
  <si>
    <t>DATA BAR</t>
  </si>
  <si>
    <t>COLUMN BAR</t>
  </si>
  <si>
    <t>TOTAL</t>
  </si>
  <si>
    <t>Total</t>
  </si>
  <si>
    <t>SPARKLINE</t>
  </si>
  <si>
    <t>Top Employee</t>
  </si>
  <si>
    <t>TOTAL SALE</t>
  </si>
  <si>
    <t>TOP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</si>
</sst>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0" fontId="2" fillId="0" borderId="2" xfId="0" applyFont="1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2" xfId="0" applyBorder="1"/>
    <xf numFmtId="0" fontId="1" fillId="0" borderId="1" xfId="1"/>
    <xf numFmtId="0" fontId="4" fillId="2" borderId="0" xfId="3"/>
    <xf numFmtId="0" fontId="1" fillId="2" borderId="0" xfId="3" applyFont="1"/>
    <xf numFmtId="0" fontId="1" fillId="3" borderId="0" xfId="4" applyFont="1"/>
    <xf numFmtId="0" fontId="4" fillId="0" borderId="1" xfId="1" applyFont="1"/>
    <xf numFmtId="0" fontId="5" fillId="0" borderId="0" xfId="0" applyFont="1"/>
    <xf numFmtId="0" fontId="0" fillId="0" borderId="0" xfId="0" applyAlignment="1">
      <alignment horizontal="center"/>
    </xf>
    <xf numFmtId="0" fontId="1" fillId="2" borderId="0" xfId="3" applyFont="1" applyAlignment="1">
      <alignment horizontal="center"/>
    </xf>
  </cellXfs>
  <cellStyles count="5">
    <cellStyle name="40% - Accent1" xfId="3" builtinId="31"/>
    <cellStyle name="60% - Accent1" xfId="4" builtinId="32"/>
    <cellStyle name="Normal" xfId="0" builtinId="0"/>
    <cellStyle name="Normal 3" xfId="2" xr:uid="{D8FE62DC-00D1-422E-8E94-EB1C68252913}"/>
    <cellStyle name="Total" xfId="1" builtinId="25"/>
  </cellStyles>
  <dxfs count="0"/>
  <tableStyles count="0" defaultTableStyle="TableStyleMedium2" defaultPivotStyle="PivotStyleLight16"/>
  <colors>
    <mruColors>
      <color rgb="FF2038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Dashboard!$B$16</c:f>
          <c:strCache>
            <c:ptCount val="1"/>
            <c:pt idx="0">
              <c:v>SUDHAKAR ARYA</c:v>
            </c:pt>
          </c:strCache>
        </c:strRef>
      </c:tx>
      <c:overlay val="0"/>
      <c:spPr>
        <a:solidFill>
          <a:schemeClr val="accent1">
            <a:lumMod val="50000"/>
          </a:schemeClr>
        </a:solidFill>
        <a:ln>
          <a:solidFill>
            <a:schemeClr val="accent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alpha val="93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Dashboard!$B$16</c:f>
              <c:strCache>
                <c:ptCount val="1"/>
                <c:pt idx="0">
                  <c:v>SUDHAKAR ARYA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Dashboard!$C$15:$I$15</c:f>
              <c:numCache>
                <c:formatCode>General</c:formatCode>
                <c:ptCount val="7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</c:numCache>
            </c:numRef>
          </c:cat>
          <c:val>
            <c:numRef>
              <c:f>Dashboard!$C$16:$I$16</c:f>
              <c:numCache>
                <c:formatCode>General</c:formatCode>
                <c:ptCount val="7"/>
                <c:pt idx="0">
                  <c:v>458</c:v>
                </c:pt>
                <c:pt idx="1">
                  <c:v>906</c:v>
                </c:pt>
                <c:pt idx="2">
                  <c:v>830</c:v>
                </c:pt>
                <c:pt idx="3">
                  <c:v>245</c:v>
                </c:pt>
                <c:pt idx="4">
                  <c:v>402</c:v>
                </c:pt>
                <c:pt idx="5">
                  <c:v>256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5-4F2D-8F12-772DE209FF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1"/>
        <c:overlap val="-27"/>
        <c:axId val="1097502560"/>
        <c:axId val="155120848"/>
      </c:barChart>
      <c:lineChart>
        <c:grouping val="standard"/>
        <c:varyColors val="0"/>
        <c:ser>
          <c:idx val="2"/>
          <c:order val="1"/>
          <c:tx>
            <c:strRef>
              <c:f>Dashboard!$B$17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Dashboard!$C$15:$I$15</c:f>
              <c:numCache>
                <c:formatCode>General</c:formatCode>
                <c:ptCount val="7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</c:numCache>
            </c:numRef>
          </c:cat>
          <c:val>
            <c:numRef>
              <c:f>Dashboard!$C$17:$I$17</c:f>
              <c:numCache>
                <c:formatCode>General</c:formatCode>
                <c:ptCount val="7"/>
                <c:pt idx="0">
                  <c:v>642</c:v>
                </c:pt>
                <c:pt idx="1">
                  <c:v>948</c:v>
                </c:pt>
                <c:pt idx="2">
                  <c:v>904</c:v>
                </c:pt>
                <c:pt idx="3">
                  <c:v>336</c:v>
                </c:pt>
                <c:pt idx="4">
                  <c:v>589</c:v>
                </c:pt>
                <c:pt idx="5">
                  <c:v>307</c:v>
                </c:pt>
                <c:pt idx="6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5-4F2D-8F12-772DE209FF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7502560"/>
        <c:axId val="155120848"/>
      </c:lineChart>
      <c:catAx>
        <c:axId val="109750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20848"/>
        <c:crosses val="autoZero"/>
        <c:auto val="1"/>
        <c:lblAlgn val="ctr"/>
        <c:lblOffset val="100"/>
        <c:noMultiLvlLbl val="0"/>
      </c:catAx>
      <c:valAx>
        <c:axId val="15512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1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Dashboard!$I$27</c:f>
          <c:strCache>
            <c:ptCount val="1"/>
            <c:pt idx="0">
              <c:v>Department wise sale (2021 to 2027)</c:v>
            </c:pt>
          </c:strCache>
        </c:strRef>
      </c:tx>
      <c:layout>
        <c:manualLayout>
          <c:xMode val="edge"/>
          <c:yMode val="edge"/>
          <c:x val="0.11170039064884331"/>
          <c:y val="2.13675213675213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SALES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Dashboard!$B$20:$B$22</c:f>
              <c:strCache>
                <c:ptCount val="3"/>
                <c:pt idx="0">
                  <c:v>FINANCE</c:v>
                </c:pt>
                <c:pt idx="1">
                  <c:v>OPERATION</c:v>
                </c:pt>
                <c:pt idx="2">
                  <c:v>HR</c:v>
                </c:pt>
              </c:strCache>
            </c:strRef>
          </c:cat>
          <c:val>
            <c:numRef>
              <c:f>Dashboard!$C$33:$E$33</c:f>
              <c:numCache>
                <c:formatCode>General</c:formatCode>
                <c:ptCount val="3"/>
                <c:pt idx="0">
                  <c:v>29436</c:v>
                </c:pt>
                <c:pt idx="1">
                  <c:v>39010</c:v>
                </c:pt>
                <c:pt idx="2">
                  <c:v>32250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F0-48DF-B16B-F25E6FE2E4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6197696"/>
        <c:axId val="76195296"/>
      </c:barChart>
      <c:catAx>
        <c:axId val="7619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5296"/>
        <c:crosses val="autoZero"/>
        <c:auto val="1"/>
        <c:lblAlgn val="ctr"/>
        <c:lblOffset val="100"/>
        <c:noMultiLvlLbl val="0"/>
      </c:catAx>
      <c:valAx>
        <c:axId val="761952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Employee wise sales</a:t>
            </a:r>
          </a:p>
        </c:rich>
      </c:tx>
      <c:overlay val="0"/>
      <c:spPr>
        <a:solidFill>
          <a:schemeClr val="accent1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tx>
            <c:strRef>
              <c:f>Dashboard!$S$9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69-4F89-8FB4-CE651D029F0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69-4F89-8FB4-CE651D029F0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B69-4F89-8FB4-CE651D029F0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B69-4F89-8FB4-CE651D029F0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B69-4F89-8FB4-CE651D029F0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B69-4F89-8FB4-CE651D029F0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B69-4F89-8FB4-CE651D029F0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69-4F89-8FB4-CE651D029F0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69-4F89-8FB4-CE651D029F0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B69-4F89-8FB4-CE651D029F0C}"/>
              </c:ext>
            </c:extLst>
          </c:dPt>
          <c:cat>
            <c:strRef>
              <c:f>Dashboard!$K$10:$K$19</c:f>
              <c:strCache>
                <c:ptCount val="10"/>
                <c:pt idx="0">
                  <c:v>HARIVANSH GAUTAM</c:v>
                </c:pt>
                <c:pt idx="1">
                  <c:v>VINI SAINI</c:v>
                </c:pt>
                <c:pt idx="2">
                  <c:v>ANAND SINGH RAJPUT</c:v>
                </c:pt>
                <c:pt idx="3">
                  <c:v>JAISHRI SAXENA</c:v>
                </c:pt>
                <c:pt idx="4">
                  <c:v>VIRENDER SROHA</c:v>
                </c:pt>
                <c:pt idx="5">
                  <c:v>SANDEEP ASWAL</c:v>
                </c:pt>
                <c:pt idx="6">
                  <c:v>KARAN KAPOOR</c:v>
                </c:pt>
                <c:pt idx="7">
                  <c:v>SUDHAKAR ARYA</c:v>
                </c:pt>
                <c:pt idx="8">
                  <c:v>ARJUN SHAW</c:v>
                </c:pt>
                <c:pt idx="9">
                  <c:v>MANPREET KAUR</c:v>
                </c:pt>
              </c:strCache>
            </c:strRef>
          </c:cat>
          <c:val>
            <c:numRef>
              <c:f>Dashboard!$S$10:$S$19</c:f>
              <c:numCache>
                <c:formatCode>General</c:formatCode>
                <c:ptCount val="10"/>
                <c:pt idx="0">
                  <c:v>3456</c:v>
                </c:pt>
                <c:pt idx="1">
                  <c:v>3225</c:v>
                </c:pt>
                <c:pt idx="2">
                  <c:v>3659</c:v>
                </c:pt>
                <c:pt idx="3">
                  <c:v>4973</c:v>
                </c:pt>
                <c:pt idx="4">
                  <c:v>4245</c:v>
                </c:pt>
                <c:pt idx="5">
                  <c:v>4077</c:v>
                </c:pt>
                <c:pt idx="6">
                  <c:v>4568</c:v>
                </c:pt>
                <c:pt idx="7">
                  <c:v>3121</c:v>
                </c:pt>
                <c:pt idx="8">
                  <c:v>2370</c:v>
                </c:pt>
                <c:pt idx="9">
                  <c:v>3560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2A-4D8E-A241-6464B3E43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930736"/>
        <c:axId val="34931216"/>
      </c:barChart>
      <c:catAx>
        <c:axId val="3493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1216"/>
        <c:crosses val="autoZero"/>
        <c:auto val="1"/>
        <c:lblAlgn val="ctr"/>
        <c:lblOffset val="100"/>
        <c:noMultiLvlLbl val="0"/>
      </c:catAx>
      <c:valAx>
        <c:axId val="3493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Dashboard!$N$4</c:f>
              <c:strCache>
                <c:ptCount val="1"/>
                <c:pt idx="0">
                  <c:v>Operation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B0-44B4-A064-1DB56169916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B0-44B4-A064-1DB56169916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B0-44B4-A064-1DB56169916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B0-44B4-A064-1DB56169916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B0-44B4-A064-1DB56169916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B0-44B4-A064-1DB56169916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B0-44B4-A064-1DB5616991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Dashboard!$O$3:$U$3</c:f>
              <c:numCache>
                <c:formatCode>General</c:formatCode>
                <c:ptCount val="7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</c:numCache>
            </c:numRef>
          </c:cat>
          <c:val>
            <c:numRef>
              <c:f>Dashboard!$O$4:$U$4</c:f>
              <c:numCache>
                <c:formatCode>General</c:formatCode>
                <c:ptCount val="7"/>
                <c:pt idx="0">
                  <c:v>6647</c:v>
                </c:pt>
                <c:pt idx="1">
                  <c:v>4984</c:v>
                </c:pt>
                <c:pt idx="2">
                  <c:v>6277</c:v>
                </c:pt>
                <c:pt idx="3">
                  <c:v>5716</c:v>
                </c:pt>
                <c:pt idx="4">
                  <c:v>6106</c:v>
                </c:pt>
                <c:pt idx="5">
                  <c:v>4331</c:v>
                </c:pt>
                <c:pt idx="6">
                  <c:v>4949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F-4C06-9BE1-64B2CA192C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Dashboard!$Q$20</c:f>
          <c:strCache>
            <c:ptCount val="1"/>
            <c:pt idx="0">
              <c:v>TOP EMPLOYEES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1"/>
          <c:order val="1"/>
          <c:tx>
            <c:strRef>
              <c:f>Dashboard!$P$22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Dashboard!$R$22:$R$24</c:f>
              <c:strCache>
                <c:ptCount val="3"/>
                <c:pt idx="0">
                  <c:v>SINTU KUMAR</c:v>
                </c:pt>
                <c:pt idx="1">
                  <c:v>JAISHRI SAXENA</c:v>
                </c:pt>
                <c:pt idx="2">
                  <c:v>VICKY SINGH</c:v>
                </c:pt>
              </c:strCache>
            </c:strRef>
          </c:cat>
          <c:val>
            <c:numRef>
              <c:f>Dashboard!$Q$22:$Q$24</c:f>
              <c:numCache>
                <c:formatCode>General</c:formatCode>
                <c:ptCount val="3"/>
                <c:pt idx="0">
                  <c:v>4156</c:v>
                </c:pt>
                <c:pt idx="1">
                  <c:v>4973</c:v>
                </c:pt>
                <c:pt idx="2">
                  <c:v>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74-4C9C-867B-C12DFB6261E5}"/>
            </c:ext>
          </c:extLst>
        </c:ser>
        <c:ser>
          <c:idx val="2"/>
          <c:order val="2"/>
          <c:tx>
            <c:strRef>
              <c:f>Dashboard!$P$23</c:f>
              <c:strCache>
                <c:ptCount val="1"/>
                <c:pt idx="0">
                  <c:v>OPERATION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Dashboard!$R$22:$R$24</c:f>
              <c:strCache>
                <c:ptCount val="3"/>
                <c:pt idx="0">
                  <c:v>SINTU KUMAR</c:v>
                </c:pt>
                <c:pt idx="1">
                  <c:v>JAISHRI SAXENA</c:v>
                </c:pt>
                <c:pt idx="2">
                  <c:v>VICKY SINGH</c:v>
                </c:pt>
              </c:strCache>
            </c:strRef>
          </c:cat>
          <c:val>
            <c:numRef>
              <c:f>Dashboard!$Q$22:$Q$24</c:f>
              <c:numCache>
                <c:formatCode>General</c:formatCode>
                <c:ptCount val="3"/>
                <c:pt idx="0">
                  <c:v>4156</c:v>
                </c:pt>
                <c:pt idx="1">
                  <c:v>4973</c:v>
                </c:pt>
                <c:pt idx="2">
                  <c:v>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74-4C9C-867B-C12DFB6261E5}"/>
            </c:ext>
          </c:extLst>
        </c:ser>
        <c:ser>
          <c:idx val="3"/>
          <c:order val="3"/>
          <c:tx>
            <c:strRef>
              <c:f>Dashboard!$P$24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F74-4C9C-867B-C12DFB6261E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F74-4C9C-867B-C12DFB6261E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F74-4C9C-867B-C12DFB6261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Dashboard!$R$22:$R$24</c:f>
              <c:strCache>
                <c:ptCount val="3"/>
                <c:pt idx="0">
                  <c:v>SINTU KUMAR</c:v>
                </c:pt>
                <c:pt idx="1">
                  <c:v>JAISHRI SAXENA</c:v>
                </c:pt>
                <c:pt idx="2">
                  <c:v>VICKY SINGH</c:v>
                </c:pt>
              </c:strCache>
            </c:strRef>
          </c:cat>
          <c:val>
            <c:numRef>
              <c:f>Dashboard!$Q$22:$Q$24</c:f>
              <c:numCache>
                <c:formatCode>General</c:formatCode>
                <c:ptCount val="3"/>
                <c:pt idx="0">
                  <c:v>4156</c:v>
                </c:pt>
                <c:pt idx="1">
                  <c:v>4973</c:v>
                </c:pt>
                <c:pt idx="2">
                  <c:v>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74-4C9C-867B-C12DFB6261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5"/>
        <c:overlap val="100"/>
        <c:axId val="583456336"/>
        <c:axId val="58346065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Dashboard!$Q$21</c15:sqref>
                        </c15:formulaRef>
                      </c:ext>
                    </c:extLst>
                    <c:strCache>
                      <c:ptCount val="1"/>
                      <c:pt idx="0">
                        <c:v>TOTAL SALE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Dashboard!$R$22:$R$24</c15:sqref>
                        </c15:formulaRef>
                      </c:ext>
                    </c:extLst>
                    <c:strCache>
                      <c:ptCount val="3"/>
                      <c:pt idx="0">
                        <c:v>SINTU KUMAR</c:v>
                      </c:pt>
                      <c:pt idx="1">
                        <c:v>JAISHRI SAXENA</c:v>
                      </c:pt>
                      <c:pt idx="2">
                        <c:v>VICKY SINGH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Dashboard!$Q$22:$Q$24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4156</c:v>
                      </c:pt>
                      <c:pt idx="1">
                        <c:v>4973</c:v>
                      </c:pt>
                      <c:pt idx="2">
                        <c:v>4200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F74-4C9C-867B-C12DFB6261E5}"/>
                  </c:ext>
                </c:extLst>
              </c15:ser>
            </c15:filteredBarSeries>
          </c:ext>
        </c:extLst>
      </c:barChart>
      <c:catAx>
        <c:axId val="5834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60656"/>
        <c:crosses val="autoZero"/>
        <c:auto val="1"/>
        <c:lblAlgn val="ctr"/>
        <c:lblOffset val="100"/>
        <c:noMultiLvlLbl val="0"/>
      </c:catAx>
      <c:valAx>
        <c:axId val="58346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accent1">
              <a:lumMod val="40000"/>
              <a:lumOff val="60000"/>
              <a:alpha val="96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E$3" lockText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6" fmlaLink="$F$3" fmlaRange="EmployeeName" sel="8" val="2"/>
</file>

<file path=xl/ctrlProps/ctrlProp5.xml><?xml version="1.0" encoding="utf-8"?>
<formControlPr xmlns="http://schemas.microsoft.com/office/spreadsheetml/2009/9/main" objectType="Scroll" dx="26" fmlaLink="$G$3" horiz="1" max="23" page="10" val="2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2</xdr:row>
      <xdr:rowOff>15240</xdr:rowOff>
    </xdr:from>
    <xdr:to>
      <xdr:col>15</xdr:col>
      <xdr:colOff>480060</xdr:colOff>
      <xdr:row>5</xdr:row>
      <xdr:rowOff>121920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33793FB-7C5B-6CEB-BAFC-780AF6ACEBEC}"/>
            </a:ext>
          </a:extLst>
        </xdr:cNvPr>
        <xdr:cNvSpPr/>
      </xdr:nvSpPr>
      <xdr:spPr>
        <a:xfrm>
          <a:off x="5379720" y="15240"/>
          <a:ext cx="4122420" cy="655320"/>
        </a:xfrm>
        <a:prstGeom prst="roundRect">
          <a:avLst/>
        </a:prstGeom>
        <a:solidFill>
          <a:schemeClr val="accent1">
            <a:lumMod val="50000"/>
          </a:schemeClr>
        </a:solidFill>
        <a:ln w="22225">
          <a:solidFill>
            <a:schemeClr val="accent1">
              <a:lumMod val="40000"/>
              <a:lumOff val="60000"/>
            </a:schemeClr>
          </a:solidFill>
        </a:ln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2</xdr:row>
          <xdr:rowOff>83820</xdr:rowOff>
        </xdr:from>
        <xdr:to>
          <xdr:col>11</xdr:col>
          <xdr:colOff>144780</xdr:colOff>
          <xdr:row>3</xdr:row>
          <xdr:rowOff>121920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C2F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297180</xdr:colOff>
          <xdr:row>2</xdr:row>
          <xdr:rowOff>91440</xdr:rowOff>
        </xdr:from>
        <xdr:to>
          <xdr:col>13</xdr:col>
          <xdr:colOff>213360</xdr:colOff>
          <xdr:row>3</xdr:row>
          <xdr:rowOff>137160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C2F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2</xdr:row>
          <xdr:rowOff>91440</xdr:rowOff>
        </xdr:from>
        <xdr:to>
          <xdr:col>15</xdr:col>
          <xdr:colOff>335280</xdr:colOff>
          <xdr:row>3</xdr:row>
          <xdr:rowOff>121920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C2F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243840</xdr:colOff>
      <xdr:row>3</xdr:row>
      <xdr:rowOff>175260</xdr:rowOff>
    </xdr:from>
    <xdr:to>
      <xdr:col>12</xdr:col>
      <xdr:colOff>220980</xdr:colOff>
      <xdr:row>5</xdr:row>
      <xdr:rowOff>68580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E748AD9-5650-2613-1A0E-7B177DEF2111}"/>
            </a:ext>
          </a:extLst>
        </xdr:cNvPr>
        <xdr:cNvSpPr txBox="1"/>
      </xdr:nvSpPr>
      <xdr:spPr>
        <a:xfrm>
          <a:off x="6217920" y="358140"/>
          <a:ext cx="1196340" cy="25908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Employee</a:t>
          </a:r>
          <a:r>
            <a:rPr lang="en-US" sz="1100"/>
            <a:t> </a:t>
          </a:r>
          <a:r>
            <a:rPr lang="en-US" sz="1100">
              <a:solidFill>
                <a:schemeClr val="bg1"/>
              </a:solidFill>
            </a:rPr>
            <a:t>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</xdr:row>
          <xdr:rowOff>167640</xdr:rowOff>
        </xdr:from>
        <xdr:to>
          <xdr:col>14</xdr:col>
          <xdr:colOff>198120</xdr:colOff>
          <xdr:row>5</xdr:row>
          <xdr:rowOff>68580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22860</xdr:colOff>
      <xdr:row>13</xdr:row>
      <xdr:rowOff>22860</xdr:rowOff>
    </xdr:from>
    <xdr:to>
      <xdr:col>9</xdr:col>
      <xdr:colOff>0</xdr:colOff>
      <xdr:row>13</xdr:row>
      <xdr:rowOff>175260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BC6F2E-0460-90D3-E914-BC38C5F84FA0}"/>
            </a:ext>
          </a:extLst>
        </xdr:cNvPr>
        <xdr:cNvSpPr/>
      </xdr:nvSpPr>
      <xdr:spPr>
        <a:xfrm>
          <a:off x="22860" y="2034540"/>
          <a:ext cx="5219700" cy="152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13</xdr:row>
          <xdr:rowOff>45720</xdr:rowOff>
        </xdr:from>
        <xdr:to>
          <xdr:col>6</xdr:col>
          <xdr:colOff>586740</xdr:colOff>
          <xdr:row>13</xdr:row>
          <xdr:rowOff>152400</xdr:rowOff>
        </xdr:to>
        <xdr:sp macro="" textlink="">
          <xdr:nvSpPr>
            <xdr:cNvPr id="5125" name="Scroll Ba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0</xdr:colOff>
      <xdr:row>2</xdr:row>
      <xdr:rowOff>0</xdr:rowOff>
    </xdr:from>
    <xdr:to>
      <xdr:col>9</xdr:col>
      <xdr:colOff>0</xdr:colOff>
      <xdr:row>13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6914AC-394B-3A01-8FF2-1D4BC919B5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23</xdr:row>
      <xdr:rowOff>15240</xdr:rowOff>
    </xdr:from>
    <xdr:to>
      <xdr:col>15</xdr:col>
      <xdr:colOff>487680</xdr:colOff>
      <xdr:row>34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8C7AFF-FEB1-4962-24C4-2543AA2776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7620</xdr:colOff>
      <xdr:row>5</xdr:row>
      <xdr:rowOff>137160</xdr:rowOff>
    </xdr:from>
    <xdr:to>
      <xdr:col>15</xdr:col>
      <xdr:colOff>487680</xdr:colOff>
      <xdr:row>23</xdr:row>
      <xdr:rowOff>7620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1D65AFD-EF9C-674E-E020-C31E4A248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487680</xdr:colOff>
      <xdr:row>2</xdr:row>
      <xdr:rowOff>15240</xdr:rowOff>
    </xdr:from>
    <xdr:to>
      <xdr:col>23</xdr:col>
      <xdr:colOff>0</xdr:colOff>
      <xdr:row>19</xdr:row>
      <xdr:rowOff>7620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2252A-D278-45D5-8B8F-CA84A3D6E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205740</xdr:colOff>
      <xdr:row>41</xdr:row>
      <xdr:rowOff>53340</xdr:rowOff>
    </xdr:from>
    <xdr:to>
      <xdr:col>20</xdr:col>
      <xdr:colOff>312420</xdr:colOff>
      <xdr:row>57</xdr:row>
      <xdr:rowOff>38100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3E3DCEE3-635B-B662-453F-96632909D5A1}"/>
            </a:ext>
          </a:extLst>
        </xdr:cNvPr>
        <xdr:cNvSpPr/>
      </xdr:nvSpPr>
      <xdr:spPr>
        <a:xfrm>
          <a:off x="9227820" y="7368540"/>
          <a:ext cx="3154680" cy="29108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495300</xdr:colOff>
      <xdr:row>19</xdr:row>
      <xdr:rowOff>7620</xdr:rowOff>
    </xdr:from>
    <xdr:to>
      <xdr:col>23</xdr:col>
      <xdr:colOff>0</xdr:colOff>
      <xdr:row>34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6AC5316-E209-0ED5-1D22-86289C5D7B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1559F02-75A4-6DDD-2477-29B178D7EBF2}"/>
            </a:ext>
          </a:extLst>
        </xdr:cNvPr>
        <xdr:cNvSpPr/>
      </xdr:nvSpPr>
      <xdr:spPr>
        <a:xfrm>
          <a:off x="190500" y="60960"/>
          <a:ext cx="13898880" cy="632460"/>
        </a:xfrm>
        <a:prstGeom prst="rect">
          <a:avLst/>
        </a:prstGeom>
        <a:solidFill>
          <a:srgbClr val="20386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 b="1"/>
            <a:t>KPI 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E38"/>
  <sheetViews>
    <sheetView workbookViewId="0">
      <selection activeCell="AF35" sqref="AF35"/>
    </sheetView>
  </sheetViews>
  <sheetFormatPr defaultRowHeight="14.4" x14ac:dyDescent="0.3"/>
  <cols>
    <col min="1" max="1" width="29.44140625" bestFit="1" customWidth="1"/>
    <col min="2" max="2" width="6.109375" customWidth="1"/>
    <col min="3" max="3" width="11.33203125" customWidth="1"/>
  </cols>
  <sheetData>
    <row r="1" spans="1:31" x14ac:dyDescent="0.3">
      <c r="A1" t="s">
        <v>0</v>
      </c>
    </row>
    <row r="2" spans="1:31" x14ac:dyDescent="0.3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3">
      <c r="A3" s="4" t="s">
        <v>8</v>
      </c>
      <c r="B3" s="4">
        <f ca="1">RANDBETWEEN(1,900)</f>
        <v>813</v>
      </c>
      <c r="C3" s="4">
        <f t="shared" ref="C3:AE11" ca="1" si="0">RANDBETWEEN(1,900)</f>
        <v>463</v>
      </c>
      <c r="D3" s="4">
        <f t="shared" ca="1" si="0"/>
        <v>893</v>
      </c>
      <c r="E3" s="4">
        <f t="shared" ca="1" si="0"/>
        <v>842</v>
      </c>
      <c r="F3" s="4">
        <f t="shared" ca="1" si="0"/>
        <v>689</v>
      </c>
      <c r="G3" s="4">
        <f t="shared" ca="1" si="0"/>
        <v>741</v>
      </c>
      <c r="H3" s="4">
        <f t="shared" ca="1" si="0"/>
        <v>218</v>
      </c>
      <c r="I3" s="4">
        <f t="shared" ca="1" si="0"/>
        <v>449</v>
      </c>
      <c r="J3" s="4">
        <f t="shared" ca="1" si="0"/>
        <v>789</v>
      </c>
      <c r="K3" s="4">
        <f t="shared" ca="1" si="0"/>
        <v>824</v>
      </c>
      <c r="L3" s="4">
        <f t="shared" ca="1" si="0"/>
        <v>786</v>
      </c>
      <c r="M3" s="4">
        <f t="shared" ca="1" si="0"/>
        <v>383</v>
      </c>
      <c r="N3" s="4">
        <f t="shared" ca="1" si="0"/>
        <v>228</v>
      </c>
      <c r="O3" s="4">
        <f t="shared" ca="1" si="0"/>
        <v>279</v>
      </c>
      <c r="P3" s="4">
        <f t="shared" ca="1" si="0"/>
        <v>173</v>
      </c>
      <c r="Q3" s="4">
        <f t="shared" ca="1" si="0"/>
        <v>861</v>
      </c>
      <c r="R3" s="4">
        <f t="shared" ca="1" si="0"/>
        <v>204</v>
      </c>
      <c r="S3" s="4">
        <f t="shared" ca="1" si="0"/>
        <v>580</v>
      </c>
      <c r="T3" s="4">
        <f t="shared" ca="1" si="0"/>
        <v>434</v>
      </c>
      <c r="U3" s="4">
        <f t="shared" ca="1" si="0"/>
        <v>82</v>
      </c>
      <c r="V3" s="4">
        <f t="shared" ca="1" si="0"/>
        <v>341</v>
      </c>
      <c r="W3" s="4">
        <f t="shared" ca="1" si="0"/>
        <v>224</v>
      </c>
      <c r="X3" s="4">
        <f t="shared" ca="1" si="0"/>
        <v>377</v>
      </c>
      <c r="Y3" s="4">
        <f t="shared" ca="1" si="0"/>
        <v>591</v>
      </c>
      <c r="Z3" s="4">
        <f t="shared" ca="1" si="0"/>
        <v>607</v>
      </c>
      <c r="AA3" s="4">
        <f t="shared" ca="1" si="0"/>
        <v>444</v>
      </c>
      <c r="AB3" s="4">
        <f t="shared" ca="1" si="0"/>
        <v>339</v>
      </c>
      <c r="AC3" s="4">
        <f t="shared" ca="1" si="0"/>
        <v>673</v>
      </c>
      <c r="AD3" s="4">
        <f t="shared" ca="1" si="0"/>
        <v>544</v>
      </c>
      <c r="AE3" s="4">
        <f t="shared" ca="1" si="0"/>
        <v>878</v>
      </c>
    </row>
    <row r="4" spans="1:31" x14ac:dyDescent="0.3">
      <c r="A4" s="4" t="s">
        <v>9</v>
      </c>
      <c r="B4" s="4">
        <f t="shared" ref="B4:Q12" ca="1" si="1">RANDBETWEEN(1,900)</f>
        <v>352</v>
      </c>
      <c r="C4" s="4">
        <f t="shared" ca="1" si="0"/>
        <v>685</v>
      </c>
      <c r="D4" s="4">
        <f t="shared" ca="1" si="0"/>
        <v>33</v>
      </c>
      <c r="E4" s="4">
        <f t="shared" ca="1" si="0"/>
        <v>62</v>
      </c>
      <c r="F4" s="4">
        <f t="shared" ca="1" si="0"/>
        <v>377</v>
      </c>
      <c r="G4" s="4">
        <f t="shared" ca="1" si="0"/>
        <v>728</v>
      </c>
      <c r="H4" s="4">
        <f t="shared" ca="1" si="0"/>
        <v>809</v>
      </c>
      <c r="I4" s="4">
        <f t="shared" ca="1" si="0"/>
        <v>164</v>
      </c>
      <c r="J4" s="4">
        <f t="shared" ca="1" si="0"/>
        <v>307</v>
      </c>
      <c r="K4" s="4">
        <f t="shared" ca="1" si="0"/>
        <v>232</v>
      </c>
      <c r="L4" s="4">
        <f t="shared" ca="1" si="0"/>
        <v>10</v>
      </c>
      <c r="M4" s="4">
        <f t="shared" ca="1" si="0"/>
        <v>831</v>
      </c>
      <c r="N4" s="4">
        <f t="shared" ca="1" si="0"/>
        <v>426</v>
      </c>
      <c r="O4" s="4">
        <f t="shared" ca="1" si="0"/>
        <v>664</v>
      </c>
      <c r="P4" s="4">
        <f t="shared" ca="1" si="0"/>
        <v>349</v>
      </c>
      <c r="Q4" s="4">
        <f t="shared" ca="1" si="0"/>
        <v>102</v>
      </c>
      <c r="R4" s="4">
        <f t="shared" ca="1" si="0"/>
        <v>374</v>
      </c>
      <c r="S4" s="4">
        <f t="shared" ca="1" si="0"/>
        <v>211</v>
      </c>
      <c r="T4" s="4">
        <f t="shared" ca="1" si="0"/>
        <v>273</v>
      </c>
      <c r="U4" s="4">
        <f t="shared" ca="1" si="0"/>
        <v>736</v>
      </c>
      <c r="V4" s="4">
        <f t="shared" ca="1" si="0"/>
        <v>745</v>
      </c>
      <c r="W4" s="4">
        <f t="shared" ca="1" si="0"/>
        <v>451</v>
      </c>
      <c r="X4" s="4">
        <f t="shared" ca="1" si="0"/>
        <v>610</v>
      </c>
      <c r="Y4" s="4">
        <f t="shared" ca="1" si="0"/>
        <v>201</v>
      </c>
      <c r="Z4" s="4">
        <f t="shared" ca="1" si="0"/>
        <v>90</v>
      </c>
      <c r="AA4" s="4">
        <f t="shared" ca="1" si="0"/>
        <v>689</v>
      </c>
      <c r="AB4" s="4">
        <f t="shared" ca="1" si="0"/>
        <v>142</v>
      </c>
      <c r="AC4" s="4">
        <f t="shared" ca="1" si="0"/>
        <v>122</v>
      </c>
      <c r="AD4" s="4">
        <f t="shared" ca="1" si="0"/>
        <v>202</v>
      </c>
      <c r="AE4" s="4">
        <f t="shared" ca="1" si="0"/>
        <v>806</v>
      </c>
    </row>
    <row r="5" spans="1:31" x14ac:dyDescent="0.3">
      <c r="A5" s="4" t="s">
        <v>10</v>
      </c>
      <c r="B5" s="4">
        <f t="shared" ca="1" si="1"/>
        <v>237</v>
      </c>
      <c r="C5" s="4">
        <f t="shared" ca="1" si="0"/>
        <v>685</v>
      </c>
      <c r="D5" s="4">
        <f t="shared" ca="1" si="0"/>
        <v>591</v>
      </c>
      <c r="E5" s="4">
        <f t="shared" ca="1" si="0"/>
        <v>685</v>
      </c>
      <c r="F5" s="4">
        <f t="shared" ca="1" si="0"/>
        <v>28</v>
      </c>
      <c r="G5" s="4">
        <f t="shared" ca="1" si="0"/>
        <v>579</v>
      </c>
      <c r="H5" s="4">
        <f t="shared" ca="1" si="0"/>
        <v>894</v>
      </c>
      <c r="I5" s="4">
        <f t="shared" ca="1" si="0"/>
        <v>784</v>
      </c>
      <c r="J5" s="4">
        <f t="shared" ca="1" si="0"/>
        <v>799</v>
      </c>
      <c r="K5" s="4">
        <f t="shared" ca="1" si="0"/>
        <v>289</v>
      </c>
      <c r="L5" s="4">
        <f t="shared" ca="1" si="0"/>
        <v>82</v>
      </c>
      <c r="M5" s="4">
        <f t="shared" ca="1" si="0"/>
        <v>121</v>
      </c>
      <c r="N5" s="4">
        <f t="shared" ca="1" si="0"/>
        <v>384</v>
      </c>
      <c r="O5" s="4">
        <f t="shared" ca="1" si="0"/>
        <v>126</v>
      </c>
      <c r="P5" s="4">
        <f t="shared" ca="1" si="0"/>
        <v>119</v>
      </c>
      <c r="Q5" s="4">
        <f t="shared" ca="1" si="0"/>
        <v>9</v>
      </c>
      <c r="R5" s="4">
        <f t="shared" ca="1" si="0"/>
        <v>616</v>
      </c>
      <c r="S5" s="4">
        <f t="shared" ca="1" si="0"/>
        <v>483</v>
      </c>
      <c r="T5" s="4">
        <f t="shared" ca="1" si="0"/>
        <v>414</v>
      </c>
      <c r="U5" s="4">
        <f t="shared" ca="1" si="0"/>
        <v>435</v>
      </c>
      <c r="V5" s="4">
        <f t="shared" ca="1" si="0"/>
        <v>540</v>
      </c>
      <c r="W5" s="4">
        <f t="shared" ca="1" si="0"/>
        <v>78</v>
      </c>
      <c r="X5" s="4">
        <f t="shared" ca="1" si="0"/>
        <v>406</v>
      </c>
      <c r="Y5" s="4">
        <f t="shared" ca="1" si="0"/>
        <v>244</v>
      </c>
      <c r="Z5" s="4">
        <f t="shared" ca="1" si="0"/>
        <v>572</v>
      </c>
      <c r="AA5" s="4">
        <f t="shared" ca="1" si="0"/>
        <v>402</v>
      </c>
      <c r="AB5" s="4">
        <f t="shared" ca="1" si="0"/>
        <v>588</v>
      </c>
      <c r="AC5" s="4">
        <f t="shared" ca="1" si="0"/>
        <v>19</v>
      </c>
      <c r="AD5" s="4">
        <f t="shared" ca="1" si="0"/>
        <v>302</v>
      </c>
      <c r="AE5" s="4">
        <f t="shared" ca="1" si="0"/>
        <v>261</v>
      </c>
    </row>
    <row r="6" spans="1:31" x14ac:dyDescent="0.3">
      <c r="A6" s="4" t="s">
        <v>11</v>
      </c>
      <c r="B6" s="4">
        <f t="shared" ca="1" si="1"/>
        <v>702</v>
      </c>
      <c r="C6" s="4">
        <f t="shared" ca="1" si="0"/>
        <v>59</v>
      </c>
      <c r="D6" s="4">
        <f t="shared" ca="1" si="0"/>
        <v>231</v>
      </c>
      <c r="E6" s="4">
        <f t="shared" ca="1" si="0"/>
        <v>79</v>
      </c>
      <c r="F6" s="4">
        <f t="shared" ca="1" si="0"/>
        <v>198</v>
      </c>
      <c r="G6" s="4">
        <f t="shared" ca="1" si="0"/>
        <v>770</v>
      </c>
      <c r="H6" s="4">
        <f t="shared" ca="1" si="0"/>
        <v>384</v>
      </c>
      <c r="I6" s="4">
        <f t="shared" ca="1" si="0"/>
        <v>352</v>
      </c>
      <c r="J6" s="4">
        <f t="shared" ca="1" si="0"/>
        <v>192</v>
      </c>
      <c r="K6" s="4">
        <f t="shared" ca="1" si="0"/>
        <v>115</v>
      </c>
      <c r="L6" s="4">
        <f t="shared" ca="1" si="0"/>
        <v>534</v>
      </c>
      <c r="M6" s="4">
        <f t="shared" ca="1" si="0"/>
        <v>664</v>
      </c>
      <c r="N6" s="4">
        <f t="shared" ca="1" si="0"/>
        <v>878</v>
      </c>
      <c r="O6" s="4">
        <f t="shared" ca="1" si="0"/>
        <v>895</v>
      </c>
      <c r="P6" s="4">
        <f t="shared" ca="1" si="0"/>
        <v>528</v>
      </c>
      <c r="Q6" s="4">
        <f t="shared" ca="1" si="0"/>
        <v>770</v>
      </c>
      <c r="R6" s="4">
        <f t="shared" ca="1" si="0"/>
        <v>392</v>
      </c>
      <c r="S6" s="4">
        <f t="shared" ca="1" si="0"/>
        <v>864</v>
      </c>
      <c r="T6" s="4">
        <f t="shared" ca="1" si="0"/>
        <v>818</v>
      </c>
      <c r="U6" s="4">
        <f t="shared" ca="1" si="0"/>
        <v>436</v>
      </c>
      <c r="V6" s="4">
        <f t="shared" ca="1" si="0"/>
        <v>594</v>
      </c>
      <c r="W6" s="4">
        <f t="shared" ca="1" si="0"/>
        <v>295</v>
      </c>
      <c r="X6" s="4">
        <f t="shared" ca="1" si="0"/>
        <v>186</v>
      </c>
      <c r="Y6" s="4">
        <f t="shared" ca="1" si="0"/>
        <v>114</v>
      </c>
      <c r="Z6" s="4">
        <f t="shared" ca="1" si="0"/>
        <v>121</v>
      </c>
      <c r="AA6" s="4">
        <f t="shared" ca="1" si="0"/>
        <v>188</v>
      </c>
      <c r="AB6" s="4">
        <f t="shared" ca="1" si="0"/>
        <v>341</v>
      </c>
      <c r="AC6" s="4">
        <f t="shared" ca="1" si="0"/>
        <v>646</v>
      </c>
      <c r="AD6" s="4">
        <f t="shared" ca="1" si="0"/>
        <v>564</v>
      </c>
      <c r="AE6" s="4">
        <f t="shared" ca="1" si="0"/>
        <v>272</v>
      </c>
    </row>
    <row r="7" spans="1:31" x14ac:dyDescent="0.3">
      <c r="A7" s="4" t="s">
        <v>12</v>
      </c>
      <c r="B7" s="4">
        <f t="shared" ca="1" si="1"/>
        <v>379</v>
      </c>
      <c r="C7" s="4">
        <f t="shared" ca="1" si="0"/>
        <v>630</v>
      </c>
      <c r="D7" s="4">
        <f t="shared" ca="1" si="0"/>
        <v>864</v>
      </c>
      <c r="E7" s="4">
        <f t="shared" ca="1" si="0"/>
        <v>107</v>
      </c>
      <c r="F7" s="4">
        <f t="shared" ca="1" si="0"/>
        <v>246</v>
      </c>
      <c r="G7" s="4">
        <f t="shared" ca="1" si="0"/>
        <v>287</v>
      </c>
      <c r="H7" s="4">
        <f t="shared" ca="1" si="0"/>
        <v>187</v>
      </c>
      <c r="I7" s="4">
        <f t="shared" ca="1" si="0"/>
        <v>8</v>
      </c>
      <c r="J7" s="4">
        <f t="shared" ca="1" si="0"/>
        <v>278</v>
      </c>
      <c r="K7" s="4">
        <f t="shared" ca="1" si="0"/>
        <v>557</v>
      </c>
      <c r="L7" s="4">
        <f t="shared" ca="1" si="0"/>
        <v>638</v>
      </c>
      <c r="M7" s="4">
        <f t="shared" ca="1" si="0"/>
        <v>563</v>
      </c>
      <c r="N7" s="4">
        <f t="shared" ca="1" si="0"/>
        <v>4</v>
      </c>
      <c r="O7" s="4">
        <f t="shared" ca="1" si="0"/>
        <v>31</v>
      </c>
      <c r="P7" s="4">
        <f t="shared" ca="1" si="0"/>
        <v>711</v>
      </c>
      <c r="Q7" s="4">
        <f t="shared" ca="1" si="0"/>
        <v>773</v>
      </c>
      <c r="R7" s="4">
        <f t="shared" ca="1" si="0"/>
        <v>865</v>
      </c>
      <c r="S7" s="4">
        <f t="shared" ca="1" si="0"/>
        <v>421</v>
      </c>
      <c r="T7" s="4">
        <f t="shared" ca="1" si="0"/>
        <v>760</v>
      </c>
      <c r="U7" s="4">
        <f t="shared" ca="1" si="0"/>
        <v>700</v>
      </c>
      <c r="V7" s="4">
        <f t="shared" ca="1" si="0"/>
        <v>646</v>
      </c>
      <c r="W7" s="4">
        <f t="shared" ca="1" si="0"/>
        <v>883</v>
      </c>
      <c r="X7" s="4">
        <f t="shared" ca="1" si="0"/>
        <v>453</v>
      </c>
      <c r="Y7" s="4">
        <f t="shared" ca="1" si="0"/>
        <v>211</v>
      </c>
      <c r="Z7" s="4">
        <f t="shared" ca="1" si="0"/>
        <v>754</v>
      </c>
      <c r="AA7" s="4">
        <f t="shared" ca="1" si="0"/>
        <v>892</v>
      </c>
      <c r="AB7" s="4">
        <f t="shared" ca="1" si="0"/>
        <v>317</v>
      </c>
      <c r="AC7" s="4">
        <f t="shared" ca="1" si="0"/>
        <v>428</v>
      </c>
      <c r="AD7" s="4">
        <f t="shared" ca="1" si="0"/>
        <v>360</v>
      </c>
      <c r="AE7" s="4">
        <f t="shared" ca="1" si="0"/>
        <v>878</v>
      </c>
    </row>
    <row r="8" spans="1:31" x14ac:dyDescent="0.3">
      <c r="A8" s="4" t="s">
        <v>13</v>
      </c>
      <c r="B8" s="4">
        <f t="shared" ca="1" si="1"/>
        <v>833</v>
      </c>
      <c r="C8" s="4">
        <f t="shared" ca="1" si="0"/>
        <v>312</v>
      </c>
      <c r="D8" s="4">
        <f t="shared" ca="1" si="0"/>
        <v>656</v>
      </c>
      <c r="E8" s="4">
        <f t="shared" ca="1" si="0"/>
        <v>238</v>
      </c>
      <c r="F8" s="4">
        <f t="shared" ca="1" si="0"/>
        <v>174</v>
      </c>
      <c r="G8" s="4">
        <f t="shared" ca="1" si="0"/>
        <v>735</v>
      </c>
      <c r="H8" s="4">
        <f t="shared" ca="1" si="0"/>
        <v>177</v>
      </c>
      <c r="I8" s="4">
        <f t="shared" ca="1" si="0"/>
        <v>806</v>
      </c>
      <c r="J8" s="4">
        <f t="shared" ca="1" si="0"/>
        <v>77</v>
      </c>
      <c r="K8" s="4">
        <f t="shared" ca="1" si="0"/>
        <v>384</v>
      </c>
      <c r="L8" s="4">
        <f t="shared" ca="1" si="0"/>
        <v>119</v>
      </c>
      <c r="M8" s="4">
        <f t="shared" ca="1" si="0"/>
        <v>239</v>
      </c>
      <c r="N8" s="4">
        <f t="shared" ca="1" si="0"/>
        <v>814</v>
      </c>
      <c r="O8" s="4">
        <f t="shared" ca="1" si="0"/>
        <v>69</v>
      </c>
      <c r="P8" s="4">
        <f t="shared" ca="1" si="0"/>
        <v>297</v>
      </c>
      <c r="Q8" s="4">
        <f t="shared" ca="1" si="0"/>
        <v>4</v>
      </c>
      <c r="R8" s="4">
        <f t="shared" ca="1" si="0"/>
        <v>526</v>
      </c>
      <c r="S8" s="4">
        <f t="shared" ca="1" si="0"/>
        <v>705</v>
      </c>
      <c r="T8" s="4">
        <f t="shared" ca="1" si="0"/>
        <v>554</v>
      </c>
      <c r="U8" s="4">
        <f t="shared" ca="1" si="0"/>
        <v>331</v>
      </c>
      <c r="V8" s="4">
        <f t="shared" ca="1" si="0"/>
        <v>267</v>
      </c>
      <c r="W8" s="4">
        <f t="shared" ca="1" si="0"/>
        <v>170</v>
      </c>
      <c r="X8" s="4">
        <f t="shared" ca="1" si="0"/>
        <v>496</v>
      </c>
      <c r="Y8" s="4">
        <f t="shared" ca="1" si="0"/>
        <v>669</v>
      </c>
      <c r="Z8" s="4">
        <f t="shared" ca="1" si="0"/>
        <v>224</v>
      </c>
      <c r="AA8" s="4">
        <f t="shared" ca="1" si="0"/>
        <v>23</v>
      </c>
      <c r="AB8" s="4">
        <f t="shared" ca="1" si="0"/>
        <v>62</v>
      </c>
      <c r="AC8" s="4">
        <f t="shared" ca="1" si="0"/>
        <v>95</v>
      </c>
      <c r="AD8" s="4">
        <f t="shared" ca="1" si="0"/>
        <v>624</v>
      </c>
      <c r="AE8" s="4">
        <f t="shared" ca="1" si="0"/>
        <v>415</v>
      </c>
    </row>
    <row r="9" spans="1:31" x14ac:dyDescent="0.3">
      <c r="A9" s="4" t="s">
        <v>14</v>
      </c>
      <c r="B9" s="4">
        <f t="shared" ca="1" si="1"/>
        <v>27</v>
      </c>
      <c r="C9" s="4">
        <f t="shared" ca="1" si="0"/>
        <v>806</v>
      </c>
      <c r="D9" s="4">
        <f t="shared" ca="1" si="0"/>
        <v>734</v>
      </c>
      <c r="E9" s="4">
        <f t="shared" ca="1" si="0"/>
        <v>702</v>
      </c>
      <c r="F9" s="4">
        <f t="shared" ca="1" si="0"/>
        <v>749</v>
      </c>
      <c r="G9" s="4">
        <f t="shared" ca="1" si="0"/>
        <v>253</v>
      </c>
      <c r="H9" s="4">
        <f t="shared" ca="1" si="0"/>
        <v>354</v>
      </c>
      <c r="I9" s="4">
        <f t="shared" ca="1" si="0"/>
        <v>651</v>
      </c>
      <c r="J9" s="4">
        <f t="shared" ca="1" si="0"/>
        <v>119</v>
      </c>
      <c r="K9" s="4">
        <f t="shared" ca="1" si="0"/>
        <v>394</v>
      </c>
      <c r="L9" s="4">
        <f t="shared" ca="1" si="0"/>
        <v>198</v>
      </c>
      <c r="M9" s="4">
        <f t="shared" ca="1" si="0"/>
        <v>254</v>
      </c>
      <c r="N9" s="4">
        <f t="shared" ca="1" si="0"/>
        <v>401</v>
      </c>
      <c r="O9" s="4">
        <f t="shared" ca="1" si="0"/>
        <v>441</v>
      </c>
      <c r="P9" s="4">
        <f t="shared" ca="1" si="0"/>
        <v>397</v>
      </c>
      <c r="Q9" s="4">
        <f t="shared" ca="1" si="0"/>
        <v>74</v>
      </c>
      <c r="R9" s="4">
        <f t="shared" ca="1" si="0"/>
        <v>656</v>
      </c>
      <c r="S9" s="4">
        <f t="shared" ca="1" si="0"/>
        <v>602</v>
      </c>
      <c r="T9" s="4">
        <f t="shared" ca="1" si="0"/>
        <v>234</v>
      </c>
      <c r="U9" s="4">
        <f t="shared" ca="1" si="0"/>
        <v>453</v>
      </c>
      <c r="V9" s="4">
        <f t="shared" ca="1" si="0"/>
        <v>474</v>
      </c>
      <c r="W9" s="4">
        <f t="shared" ca="1" si="0"/>
        <v>36</v>
      </c>
      <c r="X9" s="4">
        <f t="shared" ca="1" si="0"/>
        <v>85</v>
      </c>
      <c r="Y9" s="4">
        <f t="shared" ca="1" si="0"/>
        <v>206</v>
      </c>
      <c r="Z9" s="4">
        <f t="shared" ca="1" si="0"/>
        <v>794</v>
      </c>
      <c r="AA9" s="4">
        <f t="shared" ca="1" si="0"/>
        <v>151</v>
      </c>
      <c r="AB9" s="4">
        <f t="shared" ca="1" si="0"/>
        <v>624</v>
      </c>
      <c r="AC9" s="4">
        <f t="shared" ca="1" si="0"/>
        <v>226</v>
      </c>
      <c r="AD9" s="4">
        <f t="shared" ca="1" si="0"/>
        <v>202</v>
      </c>
      <c r="AE9" s="4">
        <f t="shared" ca="1" si="0"/>
        <v>120</v>
      </c>
    </row>
    <row r="10" spans="1:31" x14ac:dyDescent="0.3">
      <c r="A10" s="4" t="s">
        <v>15</v>
      </c>
      <c r="B10" s="4">
        <f t="shared" ca="1" si="1"/>
        <v>209</v>
      </c>
      <c r="C10" s="4">
        <f t="shared" ca="1" si="0"/>
        <v>65</v>
      </c>
      <c r="D10" s="4">
        <f t="shared" ca="1" si="0"/>
        <v>450</v>
      </c>
      <c r="E10" s="4">
        <f t="shared" ca="1" si="0"/>
        <v>750</v>
      </c>
      <c r="F10" s="4">
        <f t="shared" ca="1" si="0"/>
        <v>666</v>
      </c>
      <c r="G10" s="4">
        <f t="shared" ca="1" si="0"/>
        <v>224</v>
      </c>
      <c r="H10" s="4">
        <f t="shared" ca="1" si="0"/>
        <v>887</v>
      </c>
      <c r="I10" s="4">
        <f t="shared" ca="1" si="0"/>
        <v>482</v>
      </c>
      <c r="J10" s="4">
        <f t="shared" ca="1" si="0"/>
        <v>118</v>
      </c>
      <c r="K10" s="4">
        <f t="shared" ca="1" si="0"/>
        <v>508</v>
      </c>
      <c r="L10" s="4">
        <f t="shared" ca="1" si="0"/>
        <v>122</v>
      </c>
      <c r="M10" s="4">
        <f t="shared" ca="1" si="0"/>
        <v>300</v>
      </c>
      <c r="N10" s="4">
        <f t="shared" ca="1" si="0"/>
        <v>501</v>
      </c>
      <c r="O10" s="4">
        <f t="shared" ca="1" si="0"/>
        <v>730</v>
      </c>
      <c r="P10" s="4">
        <f t="shared" ca="1" si="0"/>
        <v>704</v>
      </c>
      <c r="Q10" s="4">
        <f t="shared" ca="1" si="0"/>
        <v>884</v>
      </c>
      <c r="R10" s="4">
        <f t="shared" ca="1" si="0"/>
        <v>200</v>
      </c>
      <c r="S10" s="4">
        <f t="shared" ca="1" si="0"/>
        <v>642</v>
      </c>
      <c r="T10" s="4">
        <f t="shared" ca="1" si="0"/>
        <v>331</v>
      </c>
      <c r="U10" s="4">
        <f t="shared" ca="1" si="0"/>
        <v>693</v>
      </c>
      <c r="V10" s="4">
        <f t="shared" ca="1" si="0"/>
        <v>112</v>
      </c>
      <c r="W10" s="4">
        <f t="shared" ca="1" si="0"/>
        <v>716</v>
      </c>
      <c r="X10" s="4">
        <f t="shared" ca="1" si="0"/>
        <v>389</v>
      </c>
      <c r="Y10" s="4">
        <f t="shared" ca="1" si="0"/>
        <v>85</v>
      </c>
      <c r="Z10" s="4">
        <f t="shared" ca="1" si="0"/>
        <v>573</v>
      </c>
      <c r="AA10" s="4">
        <f t="shared" ca="1" si="0"/>
        <v>679</v>
      </c>
      <c r="AB10" s="4">
        <f t="shared" ca="1" si="0"/>
        <v>495</v>
      </c>
      <c r="AC10" s="4">
        <f t="shared" ca="1" si="0"/>
        <v>672</v>
      </c>
      <c r="AD10" s="4">
        <f t="shared" ca="1" si="0"/>
        <v>532</v>
      </c>
      <c r="AE10" s="4">
        <f t="shared" ca="1" si="0"/>
        <v>558</v>
      </c>
    </row>
    <row r="11" spans="1:31" x14ac:dyDescent="0.3">
      <c r="A11" s="4" t="s">
        <v>16</v>
      </c>
      <c r="B11" s="4">
        <f t="shared" ca="1" si="1"/>
        <v>526</v>
      </c>
      <c r="C11" s="4">
        <f t="shared" ca="1" si="0"/>
        <v>452</v>
      </c>
      <c r="D11" s="4">
        <f t="shared" ca="1" si="0"/>
        <v>729</v>
      </c>
      <c r="E11" s="4">
        <f t="shared" ca="1" si="0"/>
        <v>618</v>
      </c>
      <c r="F11" s="4">
        <f t="shared" ca="1" si="0"/>
        <v>507</v>
      </c>
      <c r="G11" s="4">
        <f t="shared" ca="1" si="0"/>
        <v>606</v>
      </c>
      <c r="H11" s="4">
        <f t="shared" ca="1" si="0"/>
        <v>252</v>
      </c>
      <c r="I11" s="4">
        <f t="shared" ca="1" si="0"/>
        <v>770</v>
      </c>
      <c r="J11" s="4">
        <f t="shared" ca="1" si="0"/>
        <v>896</v>
      </c>
      <c r="K11" s="4">
        <f t="shared" ca="1" si="0"/>
        <v>82</v>
      </c>
      <c r="L11" s="4">
        <f t="shared" ca="1" si="0"/>
        <v>47</v>
      </c>
      <c r="M11" s="4">
        <f t="shared" ca="1" si="0"/>
        <v>271</v>
      </c>
      <c r="N11" s="4">
        <f t="shared" ca="1" si="0"/>
        <v>387</v>
      </c>
      <c r="O11" s="4">
        <f t="shared" ca="1" si="0"/>
        <v>412</v>
      </c>
      <c r="P11" s="4">
        <f t="shared" ca="1" si="0"/>
        <v>686</v>
      </c>
      <c r="Q11" s="4">
        <f t="shared" ca="1" si="0"/>
        <v>112</v>
      </c>
      <c r="R11" s="4">
        <f t="shared" ca="1" si="0"/>
        <v>653</v>
      </c>
      <c r="S11" s="4">
        <f t="shared" ca="1" si="0"/>
        <v>746</v>
      </c>
      <c r="T11" s="4">
        <f t="shared" ca="1" si="0"/>
        <v>57</v>
      </c>
      <c r="U11" s="4">
        <f t="shared" ca="1" si="0"/>
        <v>113</v>
      </c>
      <c r="V11" s="4">
        <f t="shared" ca="1" si="0"/>
        <v>312</v>
      </c>
      <c r="W11" s="4">
        <f t="shared" ca="1" si="0"/>
        <v>647</v>
      </c>
      <c r="X11" s="4">
        <f t="shared" ca="1" si="0"/>
        <v>885</v>
      </c>
      <c r="Y11" s="4">
        <f t="shared" ca="1" si="0"/>
        <v>535</v>
      </c>
      <c r="Z11" s="4">
        <f t="shared" ref="Z11:AE11" ca="1" si="2">RANDBETWEEN(1,900)</f>
        <v>899</v>
      </c>
      <c r="AA11" s="4">
        <f t="shared" ca="1" si="2"/>
        <v>428</v>
      </c>
      <c r="AB11" s="4">
        <f t="shared" ca="1" si="2"/>
        <v>260</v>
      </c>
      <c r="AC11" s="4">
        <f t="shared" ca="1" si="2"/>
        <v>701</v>
      </c>
      <c r="AD11" s="4">
        <f t="shared" ca="1" si="2"/>
        <v>525</v>
      </c>
      <c r="AE11" s="4">
        <f t="shared" ca="1" si="2"/>
        <v>863</v>
      </c>
    </row>
    <row r="12" spans="1:31" x14ac:dyDescent="0.3">
      <c r="A12" s="4" t="s">
        <v>17</v>
      </c>
      <c r="B12" s="4">
        <f t="shared" ca="1" si="1"/>
        <v>652</v>
      </c>
      <c r="C12" s="4">
        <f t="shared" ca="1" si="1"/>
        <v>780</v>
      </c>
      <c r="D12" s="4">
        <f t="shared" ca="1" si="1"/>
        <v>825</v>
      </c>
      <c r="E12" s="4">
        <f t="shared" ca="1" si="1"/>
        <v>633</v>
      </c>
      <c r="F12" s="4">
        <f t="shared" ca="1" si="1"/>
        <v>99</v>
      </c>
      <c r="G12" s="4">
        <f t="shared" ca="1" si="1"/>
        <v>692</v>
      </c>
      <c r="H12" s="4">
        <f t="shared" ca="1" si="1"/>
        <v>606</v>
      </c>
      <c r="I12" s="4">
        <f t="shared" ca="1" si="1"/>
        <v>886</v>
      </c>
      <c r="J12" s="4">
        <f t="shared" ca="1" si="1"/>
        <v>247</v>
      </c>
      <c r="K12" s="4">
        <f t="shared" ca="1" si="1"/>
        <v>30</v>
      </c>
      <c r="L12" s="4">
        <f t="shared" ca="1" si="1"/>
        <v>412</v>
      </c>
      <c r="M12" s="4">
        <f t="shared" ca="1" si="1"/>
        <v>5</v>
      </c>
      <c r="N12" s="4">
        <f t="shared" ca="1" si="1"/>
        <v>116</v>
      </c>
      <c r="O12" s="4">
        <f t="shared" ca="1" si="1"/>
        <v>264</v>
      </c>
      <c r="P12" s="4">
        <f t="shared" ca="1" si="1"/>
        <v>32</v>
      </c>
      <c r="Q12" s="4">
        <f t="shared" ca="1" si="1"/>
        <v>579</v>
      </c>
      <c r="R12" s="4">
        <f t="shared" ref="R12:AE12" ca="1" si="3">RANDBETWEEN(1,900)</f>
        <v>89</v>
      </c>
      <c r="S12" s="4">
        <f t="shared" ca="1" si="3"/>
        <v>397</v>
      </c>
      <c r="T12" s="4">
        <f t="shared" ca="1" si="3"/>
        <v>33</v>
      </c>
      <c r="U12" s="4">
        <f t="shared" ca="1" si="3"/>
        <v>669</v>
      </c>
      <c r="V12" s="4">
        <f t="shared" ca="1" si="3"/>
        <v>813</v>
      </c>
      <c r="W12" s="4">
        <f t="shared" ca="1" si="3"/>
        <v>706</v>
      </c>
      <c r="X12" s="4">
        <f t="shared" ca="1" si="3"/>
        <v>259</v>
      </c>
      <c r="Y12" s="4">
        <f t="shared" ca="1" si="3"/>
        <v>609</v>
      </c>
      <c r="Z12" s="4">
        <f t="shared" ca="1" si="3"/>
        <v>736</v>
      </c>
      <c r="AA12" s="4">
        <f t="shared" ca="1" si="3"/>
        <v>91</v>
      </c>
      <c r="AB12" s="4">
        <f t="shared" ca="1" si="3"/>
        <v>250</v>
      </c>
      <c r="AC12" s="4">
        <f t="shared" ca="1" si="3"/>
        <v>623</v>
      </c>
      <c r="AD12" s="4">
        <f t="shared" ca="1" si="3"/>
        <v>153</v>
      </c>
      <c r="AE12" s="4">
        <f t="shared" ca="1" si="3"/>
        <v>589</v>
      </c>
    </row>
    <row r="13" spans="1:31" x14ac:dyDescent="0.3">
      <c r="A13" s="2"/>
    </row>
    <row r="14" spans="1:31" x14ac:dyDescent="0.3">
      <c r="A14" s="3" t="s">
        <v>2</v>
      </c>
    </row>
    <row r="15" spans="1:31" x14ac:dyDescent="0.3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3">
      <c r="A16" s="4" t="s">
        <v>18</v>
      </c>
      <c r="B16" s="4">
        <f ca="1">RANDBETWEEN(1,1100)</f>
        <v>1053</v>
      </c>
      <c r="C16" s="4">
        <f t="shared" ref="C16:AE24" ca="1" si="4">RANDBETWEEN(1,1100)</f>
        <v>548</v>
      </c>
      <c r="D16" s="4">
        <f t="shared" ca="1" si="4"/>
        <v>579</v>
      </c>
      <c r="E16" s="4">
        <f t="shared" ca="1" si="4"/>
        <v>266</v>
      </c>
      <c r="F16" s="4">
        <f t="shared" ca="1" si="4"/>
        <v>383</v>
      </c>
      <c r="G16" s="4">
        <f t="shared" ca="1" si="4"/>
        <v>135</v>
      </c>
      <c r="H16" s="4">
        <f t="shared" ca="1" si="4"/>
        <v>720</v>
      </c>
      <c r="I16" s="4">
        <f t="shared" ca="1" si="4"/>
        <v>565</v>
      </c>
      <c r="J16" s="4">
        <f t="shared" ca="1" si="4"/>
        <v>569</v>
      </c>
      <c r="K16" s="4">
        <f t="shared" ca="1" si="4"/>
        <v>844</v>
      </c>
      <c r="L16" s="4">
        <f t="shared" ca="1" si="4"/>
        <v>865</v>
      </c>
      <c r="M16" s="4">
        <f t="shared" ca="1" si="4"/>
        <v>629</v>
      </c>
      <c r="N16" s="4">
        <f t="shared" ca="1" si="4"/>
        <v>970</v>
      </c>
      <c r="O16" s="4">
        <f t="shared" ca="1" si="4"/>
        <v>618</v>
      </c>
      <c r="P16" s="4">
        <f t="shared" ca="1" si="4"/>
        <v>237</v>
      </c>
      <c r="Q16" s="4">
        <f t="shared" ca="1" si="4"/>
        <v>576</v>
      </c>
      <c r="R16" s="4">
        <f t="shared" ca="1" si="4"/>
        <v>17</v>
      </c>
      <c r="S16" s="4">
        <f t="shared" ca="1" si="4"/>
        <v>38</v>
      </c>
      <c r="T16" s="4">
        <f t="shared" ca="1" si="4"/>
        <v>1073</v>
      </c>
      <c r="U16" s="4">
        <f t="shared" ca="1" si="4"/>
        <v>460</v>
      </c>
      <c r="V16" s="4">
        <f t="shared" ca="1" si="4"/>
        <v>443</v>
      </c>
      <c r="W16" s="4">
        <f t="shared" ca="1" si="4"/>
        <v>186</v>
      </c>
      <c r="X16" s="4">
        <f t="shared" ca="1" si="4"/>
        <v>315</v>
      </c>
      <c r="Y16" s="4">
        <f t="shared" ca="1" si="4"/>
        <v>899</v>
      </c>
      <c r="Z16" s="4">
        <f t="shared" ca="1" si="4"/>
        <v>1067</v>
      </c>
      <c r="AA16" s="4">
        <f t="shared" ca="1" si="4"/>
        <v>21</v>
      </c>
      <c r="AB16" s="4">
        <f t="shared" ca="1" si="4"/>
        <v>525</v>
      </c>
      <c r="AC16" s="4">
        <f t="shared" ca="1" si="4"/>
        <v>761</v>
      </c>
      <c r="AD16" s="4">
        <f t="shared" ca="1" si="4"/>
        <v>1077</v>
      </c>
      <c r="AE16" s="4">
        <f t="shared" ca="1" si="4"/>
        <v>669</v>
      </c>
    </row>
    <row r="17" spans="1:31" x14ac:dyDescent="0.3">
      <c r="A17" s="4" t="s">
        <v>19</v>
      </c>
      <c r="B17" s="4">
        <f t="shared" ref="B17:Q25" ca="1" si="5">RANDBETWEEN(1,1100)</f>
        <v>175</v>
      </c>
      <c r="C17" s="4">
        <f t="shared" ca="1" si="4"/>
        <v>1088</v>
      </c>
      <c r="D17" s="4">
        <f t="shared" ca="1" si="4"/>
        <v>1056</v>
      </c>
      <c r="E17" s="4">
        <f t="shared" ca="1" si="4"/>
        <v>486</v>
      </c>
      <c r="F17" s="4">
        <f t="shared" ca="1" si="4"/>
        <v>874</v>
      </c>
      <c r="G17" s="4">
        <f t="shared" ca="1" si="4"/>
        <v>756</v>
      </c>
      <c r="H17" s="4">
        <f t="shared" ca="1" si="4"/>
        <v>1069</v>
      </c>
      <c r="I17" s="4">
        <f t="shared" ca="1" si="4"/>
        <v>164</v>
      </c>
      <c r="J17" s="4">
        <f t="shared" ca="1" si="4"/>
        <v>429</v>
      </c>
      <c r="K17" s="4">
        <f t="shared" ca="1" si="4"/>
        <v>1064</v>
      </c>
      <c r="L17" s="4">
        <f t="shared" ca="1" si="4"/>
        <v>199</v>
      </c>
      <c r="M17" s="4">
        <f t="shared" ca="1" si="4"/>
        <v>317</v>
      </c>
      <c r="N17" s="4">
        <f t="shared" ca="1" si="4"/>
        <v>930</v>
      </c>
      <c r="O17" s="4">
        <f t="shared" ca="1" si="4"/>
        <v>954</v>
      </c>
      <c r="P17" s="4">
        <f t="shared" ca="1" si="4"/>
        <v>59</v>
      </c>
      <c r="Q17" s="4">
        <f t="shared" ca="1" si="4"/>
        <v>974</v>
      </c>
      <c r="R17" s="4">
        <f t="shared" ca="1" si="4"/>
        <v>143</v>
      </c>
      <c r="S17" s="4">
        <f t="shared" ca="1" si="4"/>
        <v>486</v>
      </c>
      <c r="T17" s="4">
        <f t="shared" ca="1" si="4"/>
        <v>220</v>
      </c>
      <c r="U17" s="4">
        <f t="shared" ca="1" si="4"/>
        <v>1082</v>
      </c>
      <c r="V17" s="4">
        <f t="shared" ca="1" si="4"/>
        <v>862</v>
      </c>
      <c r="W17" s="4">
        <f t="shared" ca="1" si="4"/>
        <v>148</v>
      </c>
      <c r="X17" s="4">
        <f t="shared" ca="1" si="4"/>
        <v>333</v>
      </c>
      <c r="Y17" s="4">
        <f t="shared" ca="1" si="4"/>
        <v>352</v>
      </c>
      <c r="Z17" s="4">
        <f t="shared" ca="1" si="4"/>
        <v>102</v>
      </c>
      <c r="AA17" s="4">
        <f t="shared" ca="1" si="4"/>
        <v>343</v>
      </c>
      <c r="AB17" s="4">
        <f t="shared" ca="1" si="4"/>
        <v>1085</v>
      </c>
      <c r="AC17" s="4">
        <f t="shared" ca="1" si="4"/>
        <v>528</v>
      </c>
      <c r="AD17" s="4">
        <f t="shared" ca="1" si="4"/>
        <v>4</v>
      </c>
      <c r="AE17" s="4">
        <f t="shared" ca="1" si="4"/>
        <v>248</v>
      </c>
    </row>
    <row r="18" spans="1:31" x14ac:dyDescent="0.3">
      <c r="A18" s="4" t="s">
        <v>20</v>
      </c>
      <c r="B18" s="4">
        <f t="shared" ca="1" si="5"/>
        <v>716</v>
      </c>
      <c r="C18" s="4">
        <f t="shared" ca="1" si="4"/>
        <v>968</v>
      </c>
      <c r="D18" s="4">
        <f t="shared" ca="1" si="4"/>
        <v>1090</v>
      </c>
      <c r="E18" s="4">
        <f t="shared" ca="1" si="4"/>
        <v>402</v>
      </c>
      <c r="F18" s="4">
        <f t="shared" ca="1" si="4"/>
        <v>529</v>
      </c>
      <c r="G18" s="4">
        <f t="shared" ca="1" si="4"/>
        <v>205</v>
      </c>
      <c r="H18" s="4">
        <f t="shared" ca="1" si="4"/>
        <v>593</v>
      </c>
      <c r="I18" s="4">
        <f t="shared" ca="1" si="4"/>
        <v>962</v>
      </c>
      <c r="J18" s="4">
        <f t="shared" ca="1" si="4"/>
        <v>503</v>
      </c>
      <c r="K18" s="4">
        <f t="shared" ca="1" si="4"/>
        <v>148</v>
      </c>
      <c r="L18" s="4">
        <f t="shared" ca="1" si="4"/>
        <v>898</v>
      </c>
      <c r="M18" s="4">
        <f t="shared" ca="1" si="4"/>
        <v>286</v>
      </c>
      <c r="N18" s="4">
        <f t="shared" ca="1" si="4"/>
        <v>116</v>
      </c>
      <c r="O18" s="4">
        <f t="shared" ca="1" si="4"/>
        <v>1052</v>
      </c>
      <c r="P18" s="4">
        <f t="shared" ca="1" si="4"/>
        <v>561</v>
      </c>
      <c r="Q18" s="4">
        <f t="shared" ca="1" si="4"/>
        <v>1054</v>
      </c>
      <c r="R18" s="4">
        <f t="shared" ca="1" si="4"/>
        <v>699</v>
      </c>
      <c r="S18" s="4">
        <f t="shared" ca="1" si="4"/>
        <v>907</v>
      </c>
      <c r="T18" s="4">
        <f t="shared" ca="1" si="4"/>
        <v>825</v>
      </c>
      <c r="U18" s="4">
        <f t="shared" ca="1" si="4"/>
        <v>770</v>
      </c>
      <c r="V18" s="4">
        <f t="shared" ca="1" si="4"/>
        <v>1078</v>
      </c>
      <c r="W18" s="4">
        <f t="shared" ca="1" si="4"/>
        <v>161</v>
      </c>
      <c r="X18" s="4">
        <f t="shared" ca="1" si="4"/>
        <v>874</v>
      </c>
      <c r="Y18" s="4">
        <f t="shared" ca="1" si="4"/>
        <v>12</v>
      </c>
      <c r="Z18" s="4">
        <f t="shared" ca="1" si="4"/>
        <v>390</v>
      </c>
      <c r="AA18" s="4">
        <f t="shared" ca="1" si="4"/>
        <v>716</v>
      </c>
      <c r="AB18" s="4">
        <f t="shared" ca="1" si="4"/>
        <v>428</v>
      </c>
      <c r="AC18" s="4">
        <f t="shared" ca="1" si="4"/>
        <v>288</v>
      </c>
      <c r="AD18" s="4">
        <f t="shared" ca="1" si="4"/>
        <v>1075</v>
      </c>
      <c r="AE18" s="4">
        <f t="shared" ca="1" si="4"/>
        <v>966</v>
      </c>
    </row>
    <row r="19" spans="1:31" x14ac:dyDescent="0.3">
      <c r="A19" s="4" t="s">
        <v>21</v>
      </c>
      <c r="B19" s="4">
        <f t="shared" ca="1" si="5"/>
        <v>420</v>
      </c>
      <c r="C19" s="4">
        <f t="shared" ca="1" si="4"/>
        <v>415</v>
      </c>
      <c r="D19" s="4">
        <f t="shared" ca="1" si="4"/>
        <v>629</v>
      </c>
      <c r="E19" s="4">
        <f t="shared" ca="1" si="4"/>
        <v>287</v>
      </c>
      <c r="F19" s="4">
        <f t="shared" ca="1" si="4"/>
        <v>1078</v>
      </c>
      <c r="G19" s="4">
        <f t="shared" ca="1" si="4"/>
        <v>432</v>
      </c>
      <c r="H19" s="4">
        <f t="shared" ca="1" si="4"/>
        <v>1100</v>
      </c>
      <c r="I19" s="4">
        <f t="shared" ca="1" si="4"/>
        <v>976</v>
      </c>
      <c r="J19" s="4">
        <f t="shared" ca="1" si="4"/>
        <v>315</v>
      </c>
      <c r="K19" s="4">
        <f t="shared" ca="1" si="4"/>
        <v>298</v>
      </c>
      <c r="L19" s="4">
        <f t="shared" ca="1" si="4"/>
        <v>1011</v>
      </c>
      <c r="M19" s="4">
        <f t="shared" ca="1" si="4"/>
        <v>317</v>
      </c>
      <c r="N19" s="4">
        <f t="shared" ca="1" si="4"/>
        <v>562</v>
      </c>
      <c r="O19" s="4">
        <f t="shared" ca="1" si="4"/>
        <v>187</v>
      </c>
      <c r="P19" s="4">
        <f t="shared" ca="1" si="4"/>
        <v>467</v>
      </c>
      <c r="Q19" s="4">
        <f t="shared" ca="1" si="4"/>
        <v>957</v>
      </c>
      <c r="R19" s="4">
        <f t="shared" ca="1" si="4"/>
        <v>889</v>
      </c>
      <c r="S19" s="4">
        <f t="shared" ca="1" si="4"/>
        <v>988</v>
      </c>
      <c r="T19" s="4">
        <f t="shared" ca="1" si="4"/>
        <v>770</v>
      </c>
      <c r="U19" s="4">
        <f t="shared" ca="1" si="4"/>
        <v>610</v>
      </c>
      <c r="V19" s="4">
        <f t="shared" ca="1" si="4"/>
        <v>1009</v>
      </c>
      <c r="W19" s="4">
        <f t="shared" ca="1" si="4"/>
        <v>860</v>
      </c>
      <c r="X19" s="4">
        <f t="shared" ca="1" si="4"/>
        <v>1001</v>
      </c>
      <c r="Y19" s="4">
        <f t="shared" ca="1" si="4"/>
        <v>571</v>
      </c>
      <c r="Z19" s="4">
        <f t="shared" ca="1" si="4"/>
        <v>26</v>
      </c>
      <c r="AA19" s="4">
        <f t="shared" ca="1" si="4"/>
        <v>1031</v>
      </c>
      <c r="AB19" s="4">
        <f t="shared" ca="1" si="4"/>
        <v>475</v>
      </c>
      <c r="AC19" s="4">
        <f t="shared" ca="1" si="4"/>
        <v>401</v>
      </c>
      <c r="AD19" s="4">
        <f t="shared" ca="1" si="4"/>
        <v>170</v>
      </c>
      <c r="AE19" s="4">
        <f t="shared" ca="1" si="4"/>
        <v>566</v>
      </c>
    </row>
    <row r="20" spans="1:31" x14ac:dyDescent="0.3">
      <c r="A20" s="4" t="s">
        <v>22</v>
      </c>
      <c r="B20" s="4">
        <f t="shared" ca="1" si="5"/>
        <v>396</v>
      </c>
      <c r="C20" s="4">
        <f t="shared" ca="1" si="4"/>
        <v>731</v>
      </c>
      <c r="D20" s="4">
        <f t="shared" ca="1" si="4"/>
        <v>99</v>
      </c>
      <c r="E20" s="4">
        <f t="shared" ca="1" si="4"/>
        <v>81</v>
      </c>
      <c r="F20" s="4">
        <f t="shared" ca="1" si="4"/>
        <v>429</v>
      </c>
      <c r="G20" s="4">
        <f t="shared" ca="1" si="4"/>
        <v>263</v>
      </c>
      <c r="H20" s="4">
        <f t="shared" ca="1" si="4"/>
        <v>864</v>
      </c>
      <c r="I20" s="4">
        <f t="shared" ca="1" si="4"/>
        <v>729</v>
      </c>
      <c r="J20" s="4">
        <f t="shared" ca="1" si="4"/>
        <v>566</v>
      </c>
      <c r="K20" s="4">
        <f t="shared" ca="1" si="4"/>
        <v>166</v>
      </c>
      <c r="L20" s="4">
        <f t="shared" ca="1" si="4"/>
        <v>357</v>
      </c>
      <c r="M20" s="4">
        <f t="shared" ca="1" si="4"/>
        <v>12</v>
      </c>
      <c r="N20" s="4">
        <f t="shared" ca="1" si="4"/>
        <v>779</v>
      </c>
      <c r="O20" s="4">
        <f t="shared" ca="1" si="4"/>
        <v>646</v>
      </c>
      <c r="P20" s="4">
        <f t="shared" ca="1" si="4"/>
        <v>899</v>
      </c>
      <c r="Q20" s="4">
        <f t="shared" ca="1" si="4"/>
        <v>348</v>
      </c>
      <c r="R20" s="4">
        <f t="shared" ca="1" si="4"/>
        <v>588</v>
      </c>
      <c r="S20" s="4">
        <f t="shared" ca="1" si="4"/>
        <v>929</v>
      </c>
      <c r="T20" s="4">
        <f t="shared" ca="1" si="4"/>
        <v>932</v>
      </c>
      <c r="U20" s="4">
        <f t="shared" ca="1" si="4"/>
        <v>983</v>
      </c>
      <c r="V20" s="4">
        <f t="shared" ca="1" si="4"/>
        <v>971</v>
      </c>
      <c r="W20" s="4">
        <f t="shared" ca="1" si="4"/>
        <v>392</v>
      </c>
      <c r="X20" s="4">
        <f t="shared" ca="1" si="4"/>
        <v>845</v>
      </c>
      <c r="Y20" s="4">
        <f t="shared" ca="1" si="4"/>
        <v>567</v>
      </c>
      <c r="Z20" s="4">
        <f t="shared" ca="1" si="4"/>
        <v>752</v>
      </c>
      <c r="AA20" s="4">
        <f t="shared" ca="1" si="4"/>
        <v>218</v>
      </c>
      <c r="AB20" s="4">
        <f t="shared" ca="1" si="4"/>
        <v>500</v>
      </c>
      <c r="AC20" s="4">
        <f t="shared" ca="1" si="4"/>
        <v>736</v>
      </c>
      <c r="AD20" s="4">
        <f t="shared" ca="1" si="4"/>
        <v>21</v>
      </c>
      <c r="AE20" s="4">
        <f t="shared" ca="1" si="4"/>
        <v>310</v>
      </c>
    </row>
    <row r="21" spans="1:31" x14ac:dyDescent="0.3">
      <c r="A21" s="1" t="s">
        <v>23</v>
      </c>
      <c r="B21" s="4">
        <f t="shared" ca="1" si="5"/>
        <v>862</v>
      </c>
      <c r="C21" s="4">
        <f t="shared" ca="1" si="4"/>
        <v>1033</v>
      </c>
      <c r="D21" s="4">
        <f t="shared" ca="1" si="4"/>
        <v>903</v>
      </c>
      <c r="E21" s="4">
        <f t="shared" ca="1" si="4"/>
        <v>546</v>
      </c>
      <c r="F21" s="4">
        <f t="shared" ca="1" si="4"/>
        <v>91</v>
      </c>
      <c r="G21" s="4">
        <f t="shared" ca="1" si="4"/>
        <v>773</v>
      </c>
      <c r="H21" s="4">
        <f t="shared" ca="1" si="4"/>
        <v>1034</v>
      </c>
      <c r="I21" s="4">
        <f t="shared" ca="1" si="4"/>
        <v>348</v>
      </c>
      <c r="J21" s="4">
        <f t="shared" ca="1" si="4"/>
        <v>966</v>
      </c>
      <c r="K21" s="4">
        <f t="shared" ca="1" si="4"/>
        <v>526</v>
      </c>
      <c r="L21" s="4">
        <f t="shared" ca="1" si="4"/>
        <v>480</v>
      </c>
      <c r="M21" s="4">
        <f t="shared" ca="1" si="4"/>
        <v>279</v>
      </c>
      <c r="N21" s="4">
        <f t="shared" ca="1" si="4"/>
        <v>376</v>
      </c>
      <c r="O21" s="4">
        <f t="shared" ca="1" si="4"/>
        <v>833</v>
      </c>
      <c r="P21" s="4">
        <f t="shared" ca="1" si="4"/>
        <v>192</v>
      </c>
      <c r="Q21" s="4">
        <f t="shared" ca="1" si="4"/>
        <v>467</v>
      </c>
      <c r="R21" s="4">
        <f t="shared" ca="1" si="4"/>
        <v>805</v>
      </c>
      <c r="S21" s="4">
        <f t="shared" ca="1" si="4"/>
        <v>882</v>
      </c>
      <c r="T21" s="4">
        <f t="shared" ca="1" si="4"/>
        <v>786</v>
      </c>
      <c r="U21" s="4">
        <f t="shared" ca="1" si="4"/>
        <v>953</v>
      </c>
      <c r="V21" s="4">
        <f t="shared" ca="1" si="4"/>
        <v>16</v>
      </c>
      <c r="W21" s="4">
        <f t="shared" ca="1" si="4"/>
        <v>923</v>
      </c>
      <c r="X21" s="4">
        <f t="shared" ca="1" si="4"/>
        <v>18</v>
      </c>
      <c r="Y21" s="4">
        <f t="shared" ca="1" si="4"/>
        <v>1059</v>
      </c>
      <c r="Z21" s="4">
        <f t="shared" ca="1" si="4"/>
        <v>844</v>
      </c>
      <c r="AA21" s="4">
        <f t="shared" ca="1" si="4"/>
        <v>256</v>
      </c>
      <c r="AB21" s="4">
        <f t="shared" ca="1" si="4"/>
        <v>961</v>
      </c>
      <c r="AC21" s="4">
        <f t="shared" ca="1" si="4"/>
        <v>936</v>
      </c>
      <c r="AD21" s="4">
        <f t="shared" ca="1" si="4"/>
        <v>312</v>
      </c>
      <c r="AE21" s="4">
        <f t="shared" ca="1" si="4"/>
        <v>124</v>
      </c>
    </row>
    <row r="22" spans="1:31" x14ac:dyDescent="0.3">
      <c r="A22" s="1" t="s">
        <v>24</v>
      </c>
      <c r="B22" s="4">
        <f t="shared" ca="1" si="5"/>
        <v>1085</v>
      </c>
      <c r="C22" s="4">
        <f t="shared" ca="1" si="4"/>
        <v>561</v>
      </c>
      <c r="D22" s="4">
        <f t="shared" ca="1" si="4"/>
        <v>381</v>
      </c>
      <c r="E22" s="4">
        <f t="shared" ca="1" si="4"/>
        <v>676</v>
      </c>
      <c r="F22" s="4">
        <f t="shared" ca="1" si="4"/>
        <v>237</v>
      </c>
      <c r="G22" s="4">
        <f t="shared" ca="1" si="4"/>
        <v>668</v>
      </c>
      <c r="H22" s="4">
        <f t="shared" ca="1" si="4"/>
        <v>365</v>
      </c>
      <c r="I22" s="4">
        <f t="shared" ca="1" si="4"/>
        <v>114</v>
      </c>
      <c r="J22" s="4">
        <f t="shared" ca="1" si="4"/>
        <v>749</v>
      </c>
      <c r="K22" s="4">
        <f t="shared" ca="1" si="4"/>
        <v>257</v>
      </c>
      <c r="L22" s="4">
        <f t="shared" ca="1" si="4"/>
        <v>210</v>
      </c>
      <c r="M22" s="4">
        <f t="shared" ca="1" si="4"/>
        <v>553</v>
      </c>
      <c r="N22" s="4">
        <f t="shared" ca="1" si="4"/>
        <v>735</v>
      </c>
      <c r="O22" s="4">
        <f t="shared" ca="1" si="4"/>
        <v>332</v>
      </c>
      <c r="P22" s="4">
        <f t="shared" ca="1" si="4"/>
        <v>125</v>
      </c>
      <c r="Q22" s="4">
        <f t="shared" ca="1" si="4"/>
        <v>718</v>
      </c>
      <c r="R22" s="4">
        <f t="shared" ca="1" si="4"/>
        <v>137</v>
      </c>
      <c r="S22" s="4">
        <f t="shared" ca="1" si="4"/>
        <v>387</v>
      </c>
      <c r="T22" s="4">
        <f t="shared" ca="1" si="4"/>
        <v>989</v>
      </c>
      <c r="U22" s="4">
        <f t="shared" ca="1" si="4"/>
        <v>179</v>
      </c>
      <c r="V22" s="4">
        <f t="shared" ca="1" si="4"/>
        <v>234</v>
      </c>
      <c r="W22" s="4">
        <f t="shared" ca="1" si="4"/>
        <v>407</v>
      </c>
      <c r="X22" s="4">
        <f t="shared" ca="1" si="4"/>
        <v>899</v>
      </c>
      <c r="Y22" s="4">
        <f t="shared" ca="1" si="4"/>
        <v>876</v>
      </c>
      <c r="Z22" s="4">
        <f t="shared" ca="1" si="4"/>
        <v>1041</v>
      </c>
      <c r="AA22" s="4">
        <f t="shared" ca="1" si="4"/>
        <v>1001</v>
      </c>
      <c r="AB22" s="4">
        <f t="shared" ca="1" si="4"/>
        <v>110</v>
      </c>
      <c r="AC22" s="4">
        <f t="shared" ca="1" si="4"/>
        <v>988</v>
      </c>
      <c r="AD22" s="4">
        <f t="shared" ca="1" si="4"/>
        <v>672</v>
      </c>
      <c r="AE22" s="4">
        <f t="shared" ca="1" si="4"/>
        <v>287</v>
      </c>
    </row>
    <row r="23" spans="1:31" x14ac:dyDescent="0.3">
      <c r="A23" s="1" t="s">
        <v>25</v>
      </c>
      <c r="B23" s="4">
        <f t="shared" ca="1" si="5"/>
        <v>19</v>
      </c>
      <c r="C23" s="4">
        <f t="shared" ca="1" si="4"/>
        <v>424</v>
      </c>
      <c r="D23" s="4">
        <f t="shared" ca="1" si="4"/>
        <v>686</v>
      </c>
      <c r="E23" s="4">
        <f t="shared" ca="1" si="4"/>
        <v>727</v>
      </c>
      <c r="F23" s="4">
        <f t="shared" ca="1" si="4"/>
        <v>1038</v>
      </c>
      <c r="G23" s="4">
        <f t="shared" ca="1" si="4"/>
        <v>703</v>
      </c>
      <c r="H23" s="4">
        <f t="shared" ca="1" si="4"/>
        <v>742</v>
      </c>
      <c r="I23" s="4">
        <f t="shared" ca="1" si="4"/>
        <v>278</v>
      </c>
      <c r="J23" s="4">
        <f t="shared" ca="1" si="4"/>
        <v>206</v>
      </c>
      <c r="K23" s="4">
        <f t="shared" ca="1" si="4"/>
        <v>814</v>
      </c>
      <c r="L23" s="4">
        <f t="shared" ca="1" si="4"/>
        <v>490</v>
      </c>
      <c r="M23" s="4">
        <f t="shared" ca="1" si="4"/>
        <v>1073</v>
      </c>
      <c r="N23" s="4">
        <f t="shared" ca="1" si="4"/>
        <v>256</v>
      </c>
      <c r="O23" s="4">
        <f t="shared" ca="1" si="4"/>
        <v>694</v>
      </c>
      <c r="P23" s="4">
        <f t="shared" ca="1" si="4"/>
        <v>167</v>
      </c>
      <c r="Q23" s="4">
        <f t="shared" ca="1" si="4"/>
        <v>500</v>
      </c>
      <c r="R23" s="4">
        <f t="shared" ca="1" si="4"/>
        <v>950</v>
      </c>
      <c r="S23" s="4">
        <f t="shared" ca="1" si="4"/>
        <v>428</v>
      </c>
      <c r="T23" s="4">
        <f t="shared" ca="1" si="4"/>
        <v>916</v>
      </c>
      <c r="U23" s="4">
        <f t="shared" ca="1" si="4"/>
        <v>37</v>
      </c>
      <c r="V23" s="4">
        <f t="shared" ca="1" si="4"/>
        <v>458</v>
      </c>
      <c r="W23" s="4">
        <f t="shared" ca="1" si="4"/>
        <v>906</v>
      </c>
      <c r="X23" s="4">
        <f t="shared" ca="1" si="4"/>
        <v>830</v>
      </c>
      <c r="Y23" s="4">
        <f t="shared" ca="1" si="4"/>
        <v>245</v>
      </c>
      <c r="Z23" s="4">
        <f t="shared" ca="1" si="4"/>
        <v>402</v>
      </c>
      <c r="AA23" s="4">
        <f t="shared" ca="1" si="4"/>
        <v>256</v>
      </c>
      <c r="AB23" s="4">
        <f t="shared" ca="1" si="4"/>
        <v>24</v>
      </c>
      <c r="AC23" s="4">
        <f t="shared" ca="1" si="4"/>
        <v>3</v>
      </c>
      <c r="AD23" s="4">
        <f t="shared" ca="1" si="4"/>
        <v>765</v>
      </c>
      <c r="AE23" s="4">
        <f t="shared" ca="1" si="4"/>
        <v>881</v>
      </c>
    </row>
    <row r="24" spans="1:31" x14ac:dyDescent="0.3">
      <c r="A24" s="1" t="s">
        <v>14</v>
      </c>
      <c r="B24" s="4">
        <f t="shared" ca="1" si="5"/>
        <v>388</v>
      </c>
      <c r="C24" s="4">
        <f t="shared" ca="1" si="4"/>
        <v>253</v>
      </c>
      <c r="D24" s="4">
        <f t="shared" ca="1" si="4"/>
        <v>576</v>
      </c>
      <c r="E24" s="4">
        <f t="shared" ca="1" si="4"/>
        <v>519</v>
      </c>
      <c r="F24" s="4">
        <f t="shared" ca="1" si="4"/>
        <v>912</v>
      </c>
      <c r="G24" s="4">
        <f t="shared" ca="1" si="4"/>
        <v>650</v>
      </c>
      <c r="H24" s="4">
        <f t="shared" ca="1" si="4"/>
        <v>158</v>
      </c>
      <c r="I24" s="4">
        <f t="shared" ca="1" si="4"/>
        <v>185</v>
      </c>
      <c r="J24" s="4">
        <f t="shared" ca="1" si="4"/>
        <v>982</v>
      </c>
      <c r="K24" s="4">
        <f t="shared" ca="1" si="4"/>
        <v>747</v>
      </c>
      <c r="L24" s="4">
        <f t="shared" ca="1" si="4"/>
        <v>165</v>
      </c>
      <c r="M24" s="4">
        <f t="shared" ca="1" si="4"/>
        <v>376</v>
      </c>
      <c r="N24" s="4">
        <f t="shared" ca="1" si="4"/>
        <v>927</v>
      </c>
      <c r="O24" s="4">
        <f t="shared" ca="1" si="4"/>
        <v>110</v>
      </c>
      <c r="P24" s="4">
        <f t="shared" ca="1" si="4"/>
        <v>998</v>
      </c>
      <c r="Q24" s="4">
        <f t="shared" ca="1" si="4"/>
        <v>821</v>
      </c>
      <c r="R24" s="4">
        <f t="shared" ca="1" si="4"/>
        <v>1042</v>
      </c>
      <c r="S24" s="4">
        <f t="shared" ca="1" si="4"/>
        <v>624</v>
      </c>
      <c r="T24" s="4">
        <f t="shared" ca="1" si="4"/>
        <v>115</v>
      </c>
      <c r="U24" s="4">
        <f t="shared" ca="1" si="4"/>
        <v>12</v>
      </c>
      <c r="V24" s="4">
        <f t="shared" ca="1" si="4"/>
        <v>538</v>
      </c>
      <c r="W24" s="4">
        <f t="shared" ca="1" si="4"/>
        <v>969</v>
      </c>
      <c r="X24" s="4">
        <f t="shared" ca="1" si="4"/>
        <v>668</v>
      </c>
      <c r="Y24" s="4">
        <f t="shared" ca="1" si="4"/>
        <v>1014</v>
      </c>
      <c r="Z24" s="4">
        <f t="shared" ref="Z24:AE24" ca="1" si="6">RANDBETWEEN(1,1100)</f>
        <v>540</v>
      </c>
      <c r="AA24" s="4">
        <f t="shared" ca="1" si="6"/>
        <v>4</v>
      </c>
      <c r="AB24" s="4">
        <f t="shared" ca="1" si="6"/>
        <v>393</v>
      </c>
      <c r="AC24" s="4">
        <f t="shared" ca="1" si="6"/>
        <v>1072</v>
      </c>
      <c r="AD24" s="4">
        <f t="shared" ca="1" si="6"/>
        <v>535</v>
      </c>
      <c r="AE24" s="4">
        <f t="shared" ca="1" si="6"/>
        <v>1092</v>
      </c>
    </row>
    <row r="25" spans="1:31" x14ac:dyDescent="0.3">
      <c r="A25" s="1" t="s">
        <v>26</v>
      </c>
      <c r="B25" s="4">
        <f t="shared" ca="1" si="5"/>
        <v>853</v>
      </c>
      <c r="C25" s="4">
        <f t="shared" ca="1" si="5"/>
        <v>786</v>
      </c>
      <c r="D25" s="4">
        <f t="shared" ca="1" si="5"/>
        <v>1095</v>
      </c>
      <c r="E25" s="4">
        <f t="shared" ca="1" si="5"/>
        <v>662</v>
      </c>
      <c r="F25" s="4">
        <f t="shared" ca="1" si="5"/>
        <v>317</v>
      </c>
      <c r="G25" s="4">
        <f t="shared" ca="1" si="5"/>
        <v>434</v>
      </c>
      <c r="H25" s="4">
        <f t="shared" ca="1" si="5"/>
        <v>389</v>
      </c>
      <c r="I25" s="4">
        <f t="shared" ca="1" si="5"/>
        <v>1016</v>
      </c>
      <c r="J25" s="4">
        <f t="shared" ca="1" si="5"/>
        <v>305</v>
      </c>
      <c r="K25" s="4">
        <f t="shared" ca="1" si="5"/>
        <v>869</v>
      </c>
      <c r="L25" s="4">
        <f t="shared" ca="1" si="5"/>
        <v>843</v>
      </c>
      <c r="M25" s="4">
        <f t="shared" ca="1" si="5"/>
        <v>394</v>
      </c>
      <c r="N25" s="4">
        <f t="shared" ca="1" si="5"/>
        <v>249</v>
      </c>
      <c r="O25" s="4">
        <f t="shared" ca="1" si="5"/>
        <v>630</v>
      </c>
      <c r="P25" s="4">
        <f t="shared" ca="1" si="5"/>
        <v>447</v>
      </c>
      <c r="Q25" s="4">
        <f t="shared" ca="1" si="5"/>
        <v>126</v>
      </c>
      <c r="R25" s="4">
        <f t="shared" ref="R25:AE25" ca="1" si="7">RANDBETWEEN(1,1100)</f>
        <v>856</v>
      </c>
      <c r="S25" s="4">
        <f t="shared" ca="1" si="7"/>
        <v>738</v>
      </c>
      <c r="T25" s="4">
        <f t="shared" ca="1" si="7"/>
        <v>252</v>
      </c>
      <c r="U25" s="4">
        <f t="shared" ca="1" si="7"/>
        <v>824</v>
      </c>
      <c r="V25" s="4">
        <f t="shared" ca="1" si="7"/>
        <v>1038</v>
      </c>
      <c r="W25" s="4">
        <f t="shared" ca="1" si="7"/>
        <v>32</v>
      </c>
      <c r="X25" s="4">
        <f t="shared" ca="1" si="7"/>
        <v>494</v>
      </c>
      <c r="Y25" s="4">
        <f t="shared" ca="1" si="7"/>
        <v>121</v>
      </c>
      <c r="Z25" s="4">
        <f t="shared" ca="1" si="7"/>
        <v>942</v>
      </c>
      <c r="AA25" s="4">
        <f t="shared" ca="1" si="7"/>
        <v>485</v>
      </c>
      <c r="AB25" s="4">
        <f t="shared" ca="1" si="7"/>
        <v>448</v>
      </c>
      <c r="AC25" s="4">
        <f t="shared" ca="1" si="7"/>
        <v>536</v>
      </c>
      <c r="AD25" s="4">
        <f t="shared" ca="1" si="7"/>
        <v>534</v>
      </c>
      <c r="AE25" s="4">
        <f t="shared" ca="1" si="7"/>
        <v>285</v>
      </c>
    </row>
    <row r="27" spans="1:31" x14ac:dyDescent="0.3">
      <c r="A27" s="3" t="s">
        <v>3</v>
      </c>
    </row>
    <row r="28" spans="1:31" x14ac:dyDescent="0.3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3">
      <c r="A29" s="1" t="s">
        <v>27</v>
      </c>
      <c r="B29" s="4">
        <f ca="1">RANDBETWEEN(1,950)</f>
        <v>679</v>
      </c>
      <c r="C29" s="4">
        <f t="shared" ref="C29:AE37" ca="1" si="8">RANDBETWEEN(1,950)</f>
        <v>496</v>
      </c>
      <c r="D29" s="4">
        <f t="shared" ca="1" si="8"/>
        <v>579</v>
      </c>
      <c r="E29" s="4">
        <f t="shared" ca="1" si="8"/>
        <v>233</v>
      </c>
      <c r="F29" s="4">
        <f t="shared" ca="1" si="8"/>
        <v>279</v>
      </c>
      <c r="G29" s="4">
        <f t="shared" ca="1" si="8"/>
        <v>231</v>
      </c>
      <c r="H29" s="4">
        <f t="shared" ca="1" si="8"/>
        <v>536</v>
      </c>
      <c r="I29" s="4">
        <f t="shared" ca="1" si="8"/>
        <v>585</v>
      </c>
      <c r="J29" s="4">
        <f t="shared" ca="1" si="8"/>
        <v>389</v>
      </c>
      <c r="K29" s="4">
        <f t="shared" ca="1" si="8"/>
        <v>835</v>
      </c>
      <c r="L29" s="4">
        <f t="shared" ca="1" si="8"/>
        <v>638</v>
      </c>
      <c r="M29" s="4">
        <f t="shared" ca="1" si="8"/>
        <v>709</v>
      </c>
      <c r="N29" s="4">
        <f t="shared" ca="1" si="8"/>
        <v>234</v>
      </c>
      <c r="O29" s="4">
        <f t="shared" ca="1" si="8"/>
        <v>588</v>
      </c>
      <c r="P29" s="4">
        <f t="shared" ca="1" si="8"/>
        <v>633</v>
      </c>
      <c r="Q29" s="4">
        <f t="shared" ca="1" si="8"/>
        <v>881</v>
      </c>
      <c r="R29" s="4">
        <f t="shared" ca="1" si="8"/>
        <v>849</v>
      </c>
      <c r="S29" s="4">
        <f t="shared" ca="1" si="8"/>
        <v>757</v>
      </c>
      <c r="T29" s="4">
        <f t="shared" ca="1" si="8"/>
        <v>2</v>
      </c>
      <c r="U29" s="4">
        <f t="shared" ca="1" si="8"/>
        <v>792</v>
      </c>
      <c r="V29" s="4">
        <f t="shared" ca="1" si="8"/>
        <v>795</v>
      </c>
      <c r="W29" s="4">
        <f t="shared" ca="1" si="8"/>
        <v>201</v>
      </c>
      <c r="X29" s="4">
        <f t="shared" ca="1" si="8"/>
        <v>169</v>
      </c>
      <c r="Y29" s="4">
        <f t="shared" ca="1" si="8"/>
        <v>840</v>
      </c>
      <c r="Z29" s="4">
        <f t="shared" ca="1" si="8"/>
        <v>631</v>
      </c>
      <c r="AA29" s="4">
        <f t="shared" ca="1" si="8"/>
        <v>875</v>
      </c>
      <c r="AB29" s="4">
        <f t="shared" ca="1" si="8"/>
        <v>364</v>
      </c>
      <c r="AC29" s="4">
        <f t="shared" ca="1" si="8"/>
        <v>158</v>
      </c>
      <c r="AD29" s="4">
        <f t="shared" ca="1" si="8"/>
        <v>76</v>
      </c>
      <c r="AE29" s="4">
        <f t="shared" ca="1" si="8"/>
        <v>821</v>
      </c>
    </row>
    <row r="30" spans="1:31" x14ac:dyDescent="0.3">
      <c r="A30" s="1" t="s">
        <v>28</v>
      </c>
      <c r="B30" s="4">
        <f t="shared" ref="B30:Q38" ca="1" si="9">RANDBETWEEN(1,950)</f>
        <v>519</v>
      </c>
      <c r="C30" s="4">
        <f t="shared" ca="1" si="8"/>
        <v>307</v>
      </c>
      <c r="D30" s="4">
        <f t="shared" ca="1" si="8"/>
        <v>755</v>
      </c>
      <c r="E30" s="4">
        <f t="shared" ca="1" si="8"/>
        <v>572</v>
      </c>
      <c r="F30" s="4">
        <f t="shared" ca="1" si="8"/>
        <v>610</v>
      </c>
      <c r="G30" s="4">
        <f t="shared" ca="1" si="8"/>
        <v>711</v>
      </c>
      <c r="H30" s="4">
        <f t="shared" ca="1" si="8"/>
        <v>701</v>
      </c>
      <c r="I30" s="4">
        <f t="shared" ca="1" si="8"/>
        <v>780</v>
      </c>
      <c r="J30" s="4">
        <f t="shared" ca="1" si="8"/>
        <v>828</v>
      </c>
      <c r="K30" s="4">
        <f t="shared" ca="1" si="8"/>
        <v>819</v>
      </c>
      <c r="L30" s="4">
        <f t="shared" ca="1" si="8"/>
        <v>727</v>
      </c>
      <c r="M30" s="4">
        <f t="shared" ca="1" si="8"/>
        <v>246</v>
      </c>
      <c r="N30" s="4">
        <f t="shared" ca="1" si="8"/>
        <v>786</v>
      </c>
      <c r="O30" s="4">
        <f t="shared" ca="1" si="8"/>
        <v>533</v>
      </c>
      <c r="P30" s="4">
        <f t="shared" ca="1" si="8"/>
        <v>247</v>
      </c>
      <c r="Q30" s="4">
        <f t="shared" ca="1" si="8"/>
        <v>311</v>
      </c>
      <c r="R30" s="4">
        <f t="shared" ca="1" si="8"/>
        <v>235</v>
      </c>
      <c r="S30" s="4">
        <f t="shared" ca="1" si="8"/>
        <v>742</v>
      </c>
      <c r="T30" s="4">
        <f t="shared" ca="1" si="8"/>
        <v>640</v>
      </c>
      <c r="U30" s="4">
        <f t="shared" ca="1" si="8"/>
        <v>603</v>
      </c>
      <c r="V30" s="4">
        <f t="shared" ca="1" si="8"/>
        <v>443</v>
      </c>
      <c r="W30" s="4">
        <f t="shared" ca="1" si="8"/>
        <v>169</v>
      </c>
      <c r="X30" s="4">
        <f t="shared" ca="1" si="8"/>
        <v>624</v>
      </c>
      <c r="Y30" s="4">
        <f t="shared" ca="1" si="8"/>
        <v>428</v>
      </c>
      <c r="Z30" s="4">
        <f t="shared" ca="1" si="8"/>
        <v>653</v>
      </c>
      <c r="AA30" s="4">
        <f t="shared" ca="1" si="8"/>
        <v>278</v>
      </c>
      <c r="AB30" s="4">
        <f t="shared" ca="1" si="8"/>
        <v>716</v>
      </c>
      <c r="AC30" s="4">
        <f t="shared" ca="1" si="8"/>
        <v>152</v>
      </c>
      <c r="AD30" s="4">
        <f t="shared" ca="1" si="8"/>
        <v>842</v>
      </c>
      <c r="AE30" s="4">
        <f t="shared" ca="1" si="8"/>
        <v>70</v>
      </c>
    </row>
    <row r="31" spans="1:31" x14ac:dyDescent="0.3">
      <c r="A31" s="1" t="s">
        <v>29</v>
      </c>
      <c r="B31" s="4">
        <f t="shared" ca="1" si="9"/>
        <v>152</v>
      </c>
      <c r="C31" s="4">
        <f t="shared" ca="1" si="8"/>
        <v>286</v>
      </c>
      <c r="D31" s="4">
        <f t="shared" ca="1" si="8"/>
        <v>696</v>
      </c>
      <c r="E31" s="4">
        <f t="shared" ca="1" si="8"/>
        <v>760</v>
      </c>
      <c r="F31" s="4">
        <f t="shared" ca="1" si="8"/>
        <v>691</v>
      </c>
      <c r="G31" s="4">
        <f t="shared" ca="1" si="8"/>
        <v>169</v>
      </c>
      <c r="H31" s="4">
        <f t="shared" ca="1" si="8"/>
        <v>268</v>
      </c>
      <c r="I31" s="4">
        <f t="shared" ca="1" si="8"/>
        <v>403</v>
      </c>
      <c r="J31" s="4">
        <f t="shared" ca="1" si="8"/>
        <v>394</v>
      </c>
      <c r="K31" s="4">
        <f t="shared" ca="1" si="8"/>
        <v>784</v>
      </c>
      <c r="L31" s="4">
        <f t="shared" ca="1" si="8"/>
        <v>827</v>
      </c>
      <c r="M31" s="4">
        <f t="shared" ca="1" si="8"/>
        <v>461</v>
      </c>
      <c r="N31" s="4">
        <f t="shared" ca="1" si="8"/>
        <v>563</v>
      </c>
      <c r="O31" s="4">
        <f t="shared" ca="1" si="8"/>
        <v>712</v>
      </c>
      <c r="P31" s="4">
        <f t="shared" ca="1" si="8"/>
        <v>25</v>
      </c>
      <c r="Q31" s="4">
        <f t="shared" ca="1" si="8"/>
        <v>670</v>
      </c>
      <c r="R31" s="4">
        <f t="shared" ca="1" si="8"/>
        <v>839</v>
      </c>
      <c r="S31" s="4">
        <f t="shared" ca="1" si="8"/>
        <v>556</v>
      </c>
      <c r="T31" s="4">
        <f t="shared" ca="1" si="8"/>
        <v>199</v>
      </c>
      <c r="U31" s="4">
        <f t="shared" ca="1" si="8"/>
        <v>37</v>
      </c>
      <c r="V31" s="4">
        <f t="shared" ca="1" si="8"/>
        <v>98</v>
      </c>
      <c r="W31" s="4">
        <f t="shared" ca="1" si="8"/>
        <v>498</v>
      </c>
      <c r="X31" s="4">
        <f t="shared" ca="1" si="8"/>
        <v>737</v>
      </c>
      <c r="Y31" s="4">
        <f t="shared" ca="1" si="8"/>
        <v>87</v>
      </c>
      <c r="Z31" s="4">
        <f t="shared" ca="1" si="8"/>
        <v>775</v>
      </c>
      <c r="AA31" s="4">
        <f t="shared" ca="1" si="8"/>
        <v>860</v>
      </c>
      <c r="AB31" s="4">
        <f t="shared" ca="1" si="8"/>
        <v>555</v>
      </c>
      <c r="AC31" s="4">
        <f t="shared" ca="1" si="8"/>
        <v>290</v>
      </c>
      <c r="AD31" s="4">
        <f t="shared" ca="1" si="8"/>
        <v>935</v>
      </c>
      <c r="AE31" s="4">
        <f t="shared" ca="1" si="8"/>
        <v>162</v>
      </c>
    </row>
    <row r="32" spans="1:31" x14ac:dyDescent="0.3">
      <c r="A32" s="1" t="s">
        <v>30</v>
      </c>
      <c r="B32" s="4">
        <f t="shared" ca="1" si="9"/>
        <v>920</v>
      </c>
      <c r="C32" s="4">
        <f t="shared" ca="1" si="8"/>
        <v>871</v>
      </c>
      <c r="D32" s="4">
        <f t="shared" ca="1" si="8"/>
        <v>192</v>
      </c>
      <c r="E32" s="4">
        <f t="shared" ca="1" si="8"/>
        <v>15</v>
      </c>
      <c r="F32" s="4">
        <f t="shared" ca="1" si="8"/>
        <v>113</v>
      </c>
      <c r="G32" s="4">
        <f t="shared" ca="1" si="8"/>
        <v>104</v>
      </c>
      <c r="H32" s="4">
        <f t="shared" ca="1" si="8"/>
        <v>157</v>
      </c>
      <c r="I32" s="4">
        <f t="shared" ca="1" si="8"/>
        <v>855</v>
      </c>
      <c r="J32" s="4">
        <f t="shared" ca="1" si="8"/>
        <v>605</v>
      </c>
      <c r="K32" s="4">
        <f t="shared" ca="1" si="8"/>
        <v>845</v>
      </c>
      <c r="L32" s="4">
        <f t="shared" ca="1" si="8"/>
        <v>543</v>
      </c>
      <c r="M32" s="4">
        <f t="shared" ca="1" si="8"/>
        <v>721</v>
      </c>
      <c r="N32" s="4">
        <f t="shared" ca="1" si="8"/>
        <v>400</v>
      </c>
      <c r="O32" s="4">
        <f t="shared" ca="1" si="8"/>
        <v>35</v>
      </c>
      <c r="P32" s="4">
        <f t="shared" ca="1" si="8"/>
        <v>114</v>
      </c>
      <c r="Q32" s="4">
        <f t="shared" ca="1" si="8"/>
        <v>123</v>
      </c>
      <c r="R32" s="4">
        <f t="shared" ca="1" si="8"/>
        <v>54</v>
      </c>
      <c r="S32" s="4">
        <f t="shared" ca="1" si="8"/>
        <v>93</v>
      </c>
      <c r="T32" s="4">
        <f t="shared" ca="1" si="8"/>
        <v>804</v>
      </c>
      <c r="U32" s="4">
        <f t="shared" ca="1" si="8"/>
        <v>229</v>
      </c>
      <c r="V32" s="4">
        <f t="shared" ca="1" si="8"/>
        <v>583</v>
      </c>
      <c r="W32" s="4">
        <f t="shared" ca="1" si="8"/>
        <v>154</v>
      </c>
      <c r="X32" s="4">
        <f t="shared" ca="1" si="8"/>
        <v>321</v>
      </c>
      <c r="Y32" s="4">
        <f t="shared" ca="1" si="8"/>
        <v>290</v>
      </c>
      <c r="Z32" s="4">
        <f t="shared" ca="1" si="8"/>
        <v>604</v>
      </c>
      <c r="AA32" s="4">
        <f t="shared" ca="1" si="8"/>
        <v>845</v>
      </c>
      <c r="AB32" s="4">
        <f t="shared" ca="1" si="8"/>
        <v>445</v>
      </c>
      <c r="AC32" s="4">
        <f t="shared" ca="1" si="8"/>
        <v>746</v>
      </c>
      <c r="AD32" s="4">
        <f t="shared" ca="1" si="8"/>
        <v>784</v>
      </c>
      <c r="AE32" s="4">
        <f t="shared" ca="1" si="8"/>
        <v>560</v>
      </c>
    </row>
    <row r="33" spans="1:31" x14ac:dyDescent="0.3">
      <c r="A33" s="1" t="s">
        <v>31</v>
      </c>
      <c r="B33" s="4">
        <f t="shared" ca="1" si="9"/>
        <v>662</v>
      </c>
      <c r="C33" s="4">
        <f t="shared" ca="1" si="8"/>
        <v>701</v>
      </c>
      <c r="D33" s="4">
        <f t="shared" ca="1" si="8"/>
        <v>399</v>
      </c>
      <c r="E33" s="4">
        <f t="shared" ca="1" si="8"/>
        <v>832</v>
      </c>
      <c r="F33" s="4">
        <f t="shared" ca="1" si="8"/>
        <v>397</v>
      </c>
      <c r="G33" s="4">
        <f t="shared" ca="1" si="8"/>
        <v>361</v>
      </c>
      <c r="H33" s="4">
        <f t="shared" ca="1" si="8"/>
        <v>933</v>
      </c>
      <c r="I33" s="4">
        <f t="shared" ca="1" si="8"/>
        <v>284</v>
      </c>
      <c r="J33" s="4">
        <f t="shared" ca="1" si="8"/>
        <v>181</v>
      </c>
      <c r="K33" s="4">
        <f t="shared" ca="1" si="8"/>
        <v>771</v>
      </c>
      <c r="L33" s="4">
        <f t="shared" ca="1" si="8"/>
        <v>75</v>
      </c>
      <c r="M33" s="4">
        <f t="shared" ca="1" si="8"/>
        <v>55</v>
      </c>
      <c r="N33" s="4">
        <f t="shared" ca="1" si="8"/>
        <v>222</v>
      </c>
      <c r="O33" s="4">
        <f t="shared" ca="1" si="8"/>
        <v>182</v>
      </c>
      <c r="P33" s="4">
        <f t="shared" ca="1" si="8"/>
        <v>745</v>
      </c>
      <c r="Q33" s="4">
        <f t="shared" ca="1" si="8"/>
        <v>598</v>
      </c>
      <c r="R33" s="4">
        <f t="shared" ca="1" si="8"/>
        <v>363</v>
      </c>
      <c r="S33" s="4">
        <f t="shared" ca="1" si="8"/>
        <v>433</v>
      </c>
      <c r="T33" s="4">
        <f t="shared" ca="1" si="8"/>
        <v>98</v>
      </c>
      <c r="U33" s="4">
        <f t="shared" ca="1" si="8"/>
        <v>818</v>
      </c>
      <c r="V33" s="4">
        <f t="shared" ca="1" si="8"/>
        <v>49</v>
      </c>
      <c r="W33" s="4">
        <f t="shared" ca="1" si="8"/>
        <v>886</v>
      </c>
      <c r="X33" s="4">
        <f t="shared" ca="1" si="8"/>
        <v>434</v>
      </c>
      <c r="Y33" s="4">
        <f t="shared" ca="1" si="8"/>
        <v>284</v>
      </c>
      <c r="Z33" s="4">
        <f t="shared" ca="1" si="8"/>
        <v>91</v>
      </c>
      <c r="AA33" s="4">
        <f t="shared" ca="1" si="8"/>
        <v>686</v>
      </c>
      <c r="AB33" s="4">
        <f t="shared" ca="1" si="8"/>
        <v>380</v>
      </c>
      <c r="AC33" s="4">
        <f t="shared" ca="1" si="8"/>
        <v>294</v>
      </c>
      <c r="AD33" s="4">
        <f t="shared" ca="1" si="8"/>
        <v>265</v>
      </c>
      <c r="AE33" s="4">
        <f t="shared" ca="1" si="8"/>
        <v>344</v>
      </c>
    </row>
    <row r="34" spans="1:31" x14ac:dyDescent="0.3">
      <c r="A34" s="1" t="s">
        <v>32</v>
      </c>
      <c r="B34" s="4">
        <f t="shared" ca="1" si="9"/>
        <v>187</v>
      </c>
      <c r="C34" s="4">
        <f t="shared" ca="1" si="8"/>
        <v>916</v>
      </c>
      <c r="D34" s="4">
        <f t="shared" ca="1" si="8"/>
        <v>538</v>
      </c>
      <c r="E34" s="4">
        <f t="shared" ca="1" si="8"/>
        <v>343</v>
      </c>
      <c r="F34" s="4">
        <f t="shared" ca="1" si="8"/>
        <v>292</v>
      </c>
      <c r="G34" s="4">
        <f t="shared" ca="1" si="8"/>
        <v>316</v>
      </c>
      <c r="H34" s="4">
        <f t="shared" ca="1" si="8"/>
        <v>304</v>
      </c>
      <c r="I34" s="4">
        <f t="shared" ca="1" si="8"/>
        <v>451</v>
      </c>
      <c r="J34" s="4">
        <f t="shared" ca="1" si="8"/>
        <v>423</v>
      </c>
      <c r="K34" s="4">
        <f t="shared" ca="1" si="8"/>
        <v>198</v>
      </c>
      <c r="L34" s="4">
        <f t="shared" ca="1" si="8"/>
        <v>35</v>
      </c>
      <c r="M34" s="4">
        <f t="shared" ca="1" si="8"/>
        <v>715</v>
      </c>
      <c r="N34" s="4">
        <f t="shared" ca="1" si="8"/>
        <v>166</v>
      </c>
      <c r="O34" s="4">
        <f t="shared" ca="1" si="8"/>
        <v>567</v>
      </c>
      <c r="P34" s="4">
        <f t="shared" ca="1" si="8"/>
        <v>432</v>
      </c>
      <c r="Q34" s="4">
        <f t="shared" ca="1" si="8"/>
        <v>726</v>
      </c>
      <c r="R34" s="4">
        <f t="shared" ca="1" si="8"/>
        <v>216</v>
      </c>
      <c r="S34" s="4">
        <f t="shared" ca="1" si="8"/>
        <v>411</v>
      </c>
      <c r="T34" s="4">
        <f t="shared" ca="1" si="8"/>
        <v>198</v>
      </c>
      <c r="U34" s="4">
        <f t="shared" ca="1" si="8"/>
        <v>877</v>
      </c>
      <c r="V34" s="4">
        <f t="shared" ca="1" si="8"/>
        <v>77</v>
      </c>
      <c r="W34" s="4">
        <f t="shared" ca="1" si="8"/>
        <v>214</v>
      </c>
      <c r="X34" s="4">
        <f t="shared" ca="1" si="8"/>
        <v>125</v>
      </c>
      <c r="Y34" s="4">
        <f t="shared" ca="1" si="8"/>
        <v>342</v>
      </c>
      <c r="Z34" s="4">
        <f t="shared" ca="1" si="8"/>
        <v>7</v>
      </c>
      <c r="AA34" s="4">
        <f t="shared" ca="1" si="8"/>
        <v>816</v>
      </c>
      <c r="AB34" s="4">
        <f t="shared" ca="1" si="8"/>
        <v>735</v>
      </c>
      <c r="AC34" s="4">
        <f t="shared" ca="1" si="8"/>
        <v>729</v>
      </c>
      <c r="AD34" s="4">
        <f t="shared" ca="1" si="8"/>
        <v>358</v>
      </c>
      <c r="AE34" s="4">
        <f t="shared" ca="1" si="8"/>
        <v>937</v>
      </c>
    </row>
    <row r="35" spans="1:31" x14ac:dyDescent="0.3">
      <c r="A35" s="1" t="s">
        <v>33</v>
      </c>
      <c r="B35" s="4">
        <f t="shared" ca="1" si="9"/>
        <v>686</v>
      </c>
      <c r="C35" s="4">
        <f t="shared" ca="1" si="8"/>
        <v>817</v>
      </c>
      <c r="D35" s="4">
        <f t="shared" ca="1" si="8"/>
        <v>138</v>
      </c>
      <c r="E35" s="4">
        <f t="shared" ca="1" si="8"/>
        <v>159</v>
      </c>
      <c r="F35" s="4">
        <f t="shared" ca="1" si="8"/>
        <v>605</v>
      </c>
      <c r="G35" s="4">
        <f t="shared" ca="1" si="8"/>
        <v>618</v>
      </c>
      <c r="H35" s="4">
        <f t="shared" ca="1" si="8"/>
        <v>72</v>
      </c>
      <c r="I35" s="4">
        <f t="shared" ca="1" si="8"/>
        <v>344</v>
      </c>
      <c r="J35" s="4">
        <f t="shared" ca="1" si="8"/>
        <v>531</v>
      </c>
      <c r="K35" s="4">
        <f t="shared" ca="1" si="8"/>
        <v>181</v>
      </c>
      <c r="L35" s="4">
        <f t="shared" ca="1" si="8"/>
        <v>946</v>
      </c>
      <c r="M35" s="4">
        <f t="shared" ca="1" si="8"/>
        <v>601</v>
      </c>
      <c r="N35" s="4">
        <f t="shared" ca="1" si="8"/>
        <v>699</v>
      </c>
      <c r="O35" s="4">
        <f t="shared" ca="1" si="8"/>
        <v>168</v>
      </c>
      <c r="P35" s="4">
        <f t="shared" ca="1" si="8"/>
        <v>341</v>
      </c>
      <c r="Q35" s="4">
        <f t="shared" ca="1" si="8"/>
        <v>298</v>
      </c>
      <c r="R35" s="4">
        <f t="shared" ca="1" si="8"/>
        <v>936</v>
      </c>
      <c r="S35" s="4">
        <f t="shared" ca="1" si="8"/>
        <v>703</v>
      </c>
      <c r="T35" s="4">
        <f t="shared" ca="1" si="8"/>
        <v>882</v>
      </c>
      <c r="U35" s="4">
        <f t="shared" ca="1" si="8"/>
        <v>354</v>
      </c>
      <c r="V35" s="4">
        <f t="shared" ca="1" si="8"/>
        <v>780</v>
      </c>
      <c r="W35" s="4">
        <f t="shared" ca="1" si="8"/>
        <v>243</v>
      </c>
      <c r="X35" s="4">
        <f t="shared" ca="1" si="8"/>
        <v>711</v>
      </c>
      <c r="Y35" s="4">
        <f t="shared" ca="1" si="8"/>
        <v>2</v>
      </c>
      <c r="Z35" s="4">
        <f t="shared" ca="1" si="8"/>
        <v>207</v>
      </c>
      <c r="AA35" s="4">
        <f t="shared" ca="1" si="8"/>
        <v>861</v>
      </c>
      <c r="AB35" s="4">
        <f t="shared" ca="1" si="8"/>
        <v>625</v>
      </c>
      <c r="AC35" s="4">
        <f t="shared" ca="1" si="8"/>
        <v>27</v>
      </c>
      <c r="AD35" s="4">
        <f t="shared" ca="1" si="8"/>
        <v>108</v>
      </c>
      <c r="AE35" s="4">
        <f t="shared" ca="1" si="8"/>
        <v>942</v>
      </c>
    </row>
    <row r="36" spans="1:31" x14ac:dyDescent="0.3">
      <c r="A36" s="1" t="s">
        <v>34</v>
      </c>
      <c r="B36" s="4">
        <f t="shared" ca="1" si="9"/>
        <v>111</v>
      </c>
      <c r="C36" s="4">
        <f t="shared" ca="1" si="8"/>
        <v>37</v>
      </c>
      <c r="D36" s="4">
        <f t="shared" ca="1" si="8"/>
        <v>579</v>
      </c>
      <c r="E36" s="4">
        <f t="shared" ca="1" si="8"/>
        <v>266</v>
      </c>
      <c r="F36" s="4">
        <f t="shared" ca="1" si="8"/>
        <v>417</v>
      </c>
      <c r="G36" s="4">
        <f t="shared" ca="1" si="8"/>
        <v>546</v>
      </c>
      <c r="H36" s="4">
        <f t="shared" ca="1" si="8"/>
        <v>91</v>
      </c>
      <c r="I36" s="4">
        <f t="shared" ca="1" si="8"/>
        <v>268</v>
      </c>
      <c r="J36" s="4">
        <f t="shared" ca="1" si="8"/>
        <v>649</v>
      </c>
      <c r="K36" s="4">
        <f t="shared" ca="1" si="8"/>
        <v>302</v>
      </c>
      <c r="L36" s="4">
        <f t="shared" ca="1" si="8"/>
        <v>206</v>
      </c>
      <c r="M36" s="4">
        <f t="shared" ca="1" si="8"/>
        <v>534</v>
      </c>
      <c r="N36" s="4">
        <f t="shared" ca="1" si="8"/>
        <v>380</v>
      </c>
      <c r="O36" s="4">
        <f t="shared" ca="1" si="8"/>
        <v>401</v>
      </c>
      <c r="P36" s="4">
        <f t="shared" ca="1" si="8"/>
        <v>949</v>
      </c>
      <c r="Q36" s="4">
        <f t="shared" ca="1" si="8"/>
        <v>392</v>
      </c>
      <c r="R36" s="4">
        <f t="shared" ca="1" si="8"/>
        <v>528</v>
      </c>
      <c r="S36" s="4">
        <f t="shared" ca="1" si="8"/>
        <v>810</v>
      </c>
      <c r="T36" s="4">
        <f t="shared" ca="1" si="8"/>
        <v>802</v>
      </c>
      <c r="U36" s="4">
        <f t="shared" ca="1" si="8"/>
        <v>916</v>
      </c>
      <c r="V36" s="4">
        <f t="shared" ca="1" si="8"/>
        <v>825</v>
      </c>
      <c r="W36" s="4">
        <f t="shared" ca="1" si="8"/>
        <v>752</v>
      </c>
      <c r="X36" s="4">
        <f t="shared" ca="1" si="8"/>
        <v>762</v>
      </c>
      <c r="Y36" s="4">
        <f t="shared" ca="1" si="8"/>
        <v>421</v>
      </c>
      <c r="Z36" s="4">
        <f t="shared" ca="1" si="8"/>
        <v>39</v>
      </c>
      <c r="AA36" s="4">
        <f t="shared" ca="1" si="8"/>
        <v>754</v>
      </c>
      <c r="AB36" s="4">
        <f t="shared" ca="1" si="8"/>
        <v>11</v>
      </c>
      <c r="AC36" s="4">
        <f t="shared" ca="1" si="8"/>
        <v>700</v>
      </c>
      <c r="AD36" s="4">
        <f t="shared" ca="1" si="8"/>
        <v>730</v>
      </c>
      <c r="AE36" s="4">
        <f t="shared" ca="1" si="8"/>
        <v>560</v>
      </c>
    </row>
    <row r="37" spans="1:31" x14ac:dyDescent="0.3">
      <c r="A37" s="1" t="s">
        <v>35</v>
      </c>
      <c r="B37" s="4">
        <f t="shared" ca="1" si="9"/>
        <v>310</v>
      </c>
      <c r="C37" s="4">
        <f t="shared" ca="1" si="8"/>
        <v>628</v>
      </c>
      <c r="D37" s="4">
        <f t="shared" ca="1" si="8"/>
        <v>238</v>
      </c>
      <c r="E37" s="4">
        <f t="shared" ca="1" si="8"/>
        <v>519</v>
      </c>
      <c r="F37" s="4">
        <f t="shared" ca="1" si="8"/>
        <v>648</v>
      </c>
      <c r="G37" s="4">
        <f t="shared" ca="1" si="8"/>
        <v>850</v>
      </c>
      <c r="H37" s="4">
        <f t="shared" ca="1" si="8"/>
        <v>762</v>
      </c>
      <c r="I37" s="4">
        <f t="shared" ca="1" si="8"/>
        <v>687</v>
      </c>
      <c r="J37" s="4">
        <f t="shared" ca="1" si="8"/>
        <v>52</v>
      </c>
      <c r="K37" s="4">
        <f t="shared" ca="1" si="8"/>
        <v>502</v>
      </c>
      <c r="L37" s="4">
        <f t="shared" ca="1" si="8"/>
        <v>605</v>
      </c>
      <c r="M37" s="4">
        <f t="shared" ca="1" si="8"/>
        <v>274</v>
      </c>
      <c r="N37" s="4">
        <f t="shared" ca="1" si="8"/>
        <v>186</v>
      </c>
      <c r="O37" s="4">
        <f t="shared" ca="1" si="8"/>
        <v>3</v>
      </c>
      <c r="P37" s="4">
        <f t="shared" ca="1" si="8"/>
        <v>890</v>
      </c>
      <c r="Q37" s="4">
        <f t="shared" ca="1" si="8"/>
        <v>501</v>
      </c>
      <c r="R37" s="4">
        <f t="shared" ca="1" si="8"/>
        <v>883</v>
      </c>
      <c r="S37" s="4">
        <f t="shared" ca="1" si="8"/>
        <v>689</v>
      </c>
      <c r="T37" s="4">
        <f t="shared" ca="1" si="8"/>
        <v>160</v>
      </c>
      <c r="U37" s="4">
        <f t="shared" ca="1" si="8"/>
        <v>610</v>
      </c>
      <c r="V37" s="4">
        <f t="shared" ca="1" si="8"/>
        <v>764</v>
      </c>
      <c r="W37" s="4">
        <f t="shared" ca="1" si="8"/>
        <v>944</v>
      </c>
      <c r="X37" s="4">
        <f t="shared" ca="1" si="8"/>
        <v>544</v>
      </c>
      <c r="Y37" s="4">
        <f t="shared" ca="1" si="8"/>
        <v>41</v>
      </c>
      <c r="Z37" s="4">
        <f t="shared" ref="Z37:AE37" ca="1" si="10">RANDBETWEEN(1,950)</f>
        <v>816</v>
      </c>
      <c r="AA37" s="4">
        <f t="shared" ca="1" si="10"/>
        <v>914</v>
      </c>
      <c r="AB37" s="4">
        <f t="shared" ca="1" si="10"/>
        <v>177</v>
      </c>
      <c r="AC37" s="4">
        <f t="shared" ca="1" si="10"/>
        <v>134</v>
      </c>
      <c r="AD37" s="4">
        <f t="shared" ca="1" si="10"/>
        <v>21</v>
      </c>
      <c r="AE37" s="4">
        <f t="shared" ca="1" si="10"/>
        <v>485</v>
      </c>
    </row>
    <row r="38" spans="1:31" x14ac:dyDescent="0.3">
      <c r="A38" s="1" t="s">
        <v>36</v>
      </c>
      <c r="B38" s="4">
        <f t="shared" ca="1" si="9"/>
        <v>280</v>
      </c>
      <c r="C38" s="4">
        <f t="shared" ca="1" si="9"/>
        <v>44</v>
      </c>
      <c r="D38" s="4">
        <f t="shared" ca="1" si="9"/>
        <v>670</v>
      </c>
      <c r="E38" s="4">
        <f t="shared" ca="1" si="9"/>
        <v>606</v>
      </c>
      <c r="F38" s="4">
        <f t="shared" ca="1" si="9"/>
        <v>327</v>
      </c>
      <c r="G38" s="4">
        <f t="shared" ca="1" si="9"/>
        <v>72</v>
      </c>
      <c r="H38" s="4">
        <f t="shared" ca="1" si="9"/>
        <v>397</v>
      </c>
      <c r="I38" s="4">
        <f t="shared" ca="1" si="9"/>
        <v>744</v>
      </c>
      <c r="J38" s="4">
        <f t="shared" ca="1" si="9"/>
        <v>412</v>
      </c>
      <c r="K38" s="4">
        <f t="shared" ca="1" si="9"/>
        <v>426</v>
      </c>
      <c r="L38" s="4">
        <f t="shared" ca="1" si="9"/>
        <v>761</v>
      </c>
      <c r="M38" s="4">
        <f t="shared" ca="1" si="9"/>
        <v>826</v>
      </c>
      <c r="N38" s="4">
        <f t="shared" ca="1" si="9"/>
        <v>455</v>
      </c>
      <c r="O38" s="4">
        <f t="shared" ca="1" si="9"/>
        <v>86</v>
      </c>
      <c r="P38" s="4">
        <f t="shared" ca="1" si="9"/>
        <v>130</v>
      </c>
      <c r="Q38" s="4">
        <f t="shared" ca="1" si="9"/>
        <v>652</v>
      </c>
      <c r="R38" s="4">
        <f t="shared" ref="R38:AE38" ca="1" si="11">RANDBETWEEN(1,950)</f>
        <v>333</v>
      </c>
      <c r="S38" s="4">
        <f t="shared" ca="1" si="11"/>
        <v>165</v>
      </c>
      <c r="T38" s="4">
        <f t="shared" ca="1" si="11"/>
        <v>535</v>
      </c>
      <c r="U38" s="4">
        <f t="shared" ca="1" si="11"/>
        <v>343</v>
      </c>
      <c r="V38" s="4">
        <f t="shared" ca="1" si="11"/>
        <v>83</v>
      </c>
      <c r="W38" s="4">
        <f t="shared" ca="1" si="11"/>
        <v>413</v>
      </c>
      <c r="X38" s="4">
        <f t="shared" ca="1" si="11"/>
        <v>101</v>
      </c>
      <c r="Y38" s="4">
        <f t="shared" ca="1" si="11"/>
        <v>27</v>
      </c>
      <c r="Z38" s="4">
        <f t="shared" ca="1" si="11"/>
        <v>340</v>
      </c>
      <c r="AA38" s="4">
        <f t="shared" ca="1" si="11"/>
        <v>216</v>
      </c>
      <c r="AB38" s="4">
        <f t="shared" ca="1" si="11"/>
        <v>713</v>
      </c>
      <c r="AC38" s="4">
        <f t="shared" ca="1" si="11"/>
        <v>750</v>
      </c>
      <c r="AD38" s="4">
        <f t="shared" ca="1" si="11"/>
        <v>667</v>
      </c>
      <c r="AE38" s="4">
        <f t="shared" ca="1" si="11"/>
        <v>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3CEF7-48A6-4FBD-8AD1-B62C4AC43730}">
  <sheetPr codeName="Sheet2"/>
  <dimension ref="B1:U35"/>
  <sheetViews>
    <sheetView showGridLines="0" tabSelected="1" topLeftCell="A2" zoomScaleNormal="100" workbookViewId="0">
      <selection activeCell="Z20" sqref="Z20"/>
    </sheetView>
  </sheetViews>
  <sheetFormatPr defaultRowHeight="14.4" x14ac:dyDescent="0.3"/>
  <cols>
    <col min="1" max="1" width="1.77734375" customWidth="1"/>
    <col min="2" max="2" width="14.21875" customWidth="1"/>
    <col min="4" max="4" width="10.6640625" customWidth="1"/>
    <col min="5" max="7" width="8.88671875" customWidth="1"/>
    <col min="10" max="11" width="8.88671875" customWidth="1"/>
  </cols>
  <sheetData>
    <row r="1" spans="2:21" ht="4.95" customHeight="1" x14ac:dyDescent="0.3"/>
    <row r="2" spans="2:21" ht="49.95" customHeight="1" x14ac:dyDescent="0.3"/>
    <row r="3" spans="2:21" x14ac:dyDescent="0.3">
      <c r="E3">
        <v>2</v>
      </c>
      <c r="F3">
        <v>8</v>
      </c>
      <c r="G3">
        <v>20</v>
      </c>
      <c r="N3" t="s">
        <v>5</v>
      </c>
      <c r="O3" cm="1">
        <f t="array" aca="1" ref="O3:U3" ca="1">C15:I15</f>
        <v>2021</v>
      </c>
      <c r="P3">
        <f ca="1"/>
        <v>2022</v>
      </c>
      <c r="Q3">
        <f ca="1"/>
        <v>2023</v>
      </c>
      <c r="R3">
        <f ca="1"/>
        <v>2024</v>
      </c>
      <c r="S3">
        <f ca="1"/>
        <v>2025</v>
      </c>
      <c r="T3">
        <f ca="1"/>
        <v>2026</v>
      </c>
      <c r="U3">
        <f ca="1"/>
        <v>2027</v>
      </c>
    </row>
    <row r="4" spans="2:21" x14ac:dyDescent="0.3">
      <c r="N4" t="str">
        <f ca="1">OFFSET(RawData!$A$1,($E$3-1)*13,0)</f>
        <v>Operation</v>
      </c>
      <c r="O4" cm="1">
        <f t="array" aca="1" ref="O4" ca="1">SUMPRODUCT((Year=O$3)*(INDIRECT($N$4&amp;"_Data")))</f>
        <v>6647</v>
      </c>
      <c r="P4" cm="1">
        <f t="array" aca="1" ref="P4" ca="1">SUMPRODUCT((Year=P$3)*(INDIRECT($N$4&amp;"_Data")))</f>
        <v>4984</v>
      </c>
      <c r="Q4" cm="1">
        <f t="array" aca="1" ref="Q4" ca="1">SUMPRODUCT((Year=Q$3)*(INDIRECT($N$4&amp;"_Data")))</f>
        <v>6277</v>
      </c>
      <c r="R4" cm="1">
        <f t="array" aca="1" ref="R4" ca="1">SUMPRODUCT((Year=R$3)*(INDIRECT($N$4&amp;"_Data")))</f>
        <v>5716</v>
      </c>
      <c r="S4" cm="1">
        <f t="array" aca="1" ref="S4" ca="1">SUMPRODUCT((Year=S$3)*(INDIRECT($N$4&amp;"_Data")))</f>
        <v>6106</v>
      </c>
      <c r="T4" cm="1">
        <f t="array" aca="1" ref="T4" ca="1">SUMPRODUCT((Year=T$3)*(INDIRECT($N$4&amp;"_Data")))</f>
        <v>4331</v>
      </c>
      <c r="U4" cm="1">
        <f t="array" aca="1" ref="U4" ca="1">SUMPRODUCT((Year=U$3)*(INDIRECT($N$4&amp;"_Data")))</f>
        <v>4949</v>
      </c>
    </row>
    <row r="9" spans="2:21" x14ac:dyDescent="0.3">
      <c r="K9" t="s">
        <v>7</v>
      </c>
      <c r="L9">
        <f ca="1">C15</f>
        <v>2021</v>
      </c>
      <c r="M9">
        <f t="shared" ref="M9:R9" ca="1" si="0">D15</f>
        <v>2022</v>
      </c>
      <c r="N9">
        <f t="shared" ca="1" si="0"/>
        <v>2023</v>
      </c>
      <c r="O9">
        <f t="shared" ca="1" si="0"/>
        <v>2024</v>
      </c>
      <c r="P9">
        <f t="shared" ca="1" si="0"/>
        <v>2025</v>
      </c>
      <c r="Q9">
        <f t="shared" ca="1" si="0"/>
        <v>2026</v>
      </c>
      <c r="R9">
        <f t="shared" ca="1" si="0"/>
        <v>2027</v>
      </c>
      <c r="S9" t="s">
        <v>44</v>
      </c>
    </row>
    <row r="10" spans="2:21" x14ac:dyDescent="0.3">
      <c r="K10" t="str" cm="1">
        <f t="array" ref="K10:K19">CHOOSE($E$3,Finance,Operation,HR)</f>
        <v>HARIVANSH GAUTAM</v>
      </c>
      <c r="L10">
        <f ca="1">VLOOKUP($K10,RawData!$A$1:$AE$38,MATCH(Dashboard!L$9,Year,0)+1,0)</f>
        <v>443</v>
      </c>
      <c r="M10">
        <f ca="1">VLOOKUP($K10,RawData!$A$1:$AE$38,MATCH(Dashboard!M$9,Year,0)+1,0)</f>
        <v>186</v>
      </c>
      <c r="N10">
        <f ca="1">VLOOKUP($K10,RawData!$A$1:$AE$38,MATCH(Dashboard!N$9,Year,0)+1,0)</f>
        <v>315</v>
      </c>
      <c r="O10">
        <f ca="1">VLOOKUP($K10,RawData!$A$1:$AE$38,MATCH(Dashboard!O$9,Year,0)+1,0)</f>
        <v>899</v>
      </c>
      <c r="P10">
        <f ca="1">VLOOKUP($K10,RawData!$A$1:$AE$38,MATCH(Dashboard!P$9,Year,0)+1,0)</f>
        <v>1067</v>
      </c>
      <c r="Q10">
        <f ca="1">VLOOKUP($K10,RawData!$A$1:$AE$38,MATCH(Dashboard!Q$9,Year,0)+1,0)</f>
        <v>21</v>
      </c>
      <c r="R10">
        <f ca="1">VLOOKUP($K10,RawData!$A$1:$AE$38,MATCH(Dashboard!R$9,Year,0)+1,0)</f>
        <v>525</v>
      </c>
      <c r="S10">
        <f ca="1">SUM($L10:$R10)</f>
        <v>3456</v>
      </c>
    </row>
    <row r="11" spans="2:21" x14ac:dyDescent="0.3">
      <c r="K11" t="str">
        <v>VINI SAINI</v>
      </c>
      <c r="L11">
        <f ca="1">VLOOKUP($K11,RawData!$A$1:$AE$38,MATCH(Dashboard!L$9,Year,0)+1,0)</f>
        <v>862</v>
      </c>
      <c r="M11">
        <f ca="1">VLOOKUP($K11,RawData!$A$1:$AE$38,MATCH(Dashboard!M$9,Year,0)+1,0)</f>
        <v>148</v>
      </c>
      <c r="N11">
        <f ca="1">VLOOKUP($K11,RawData!$A$1:$AE$38,MATCH(Dashboard!N$9,Year,0)+1,0)</f>
        <v>333</v>
      </c>
      <c r="O11">
        <f ca="1">VLOOKUP($K11,RawData!$A$1:$AE$38,MATCH(Dashboard!O$9,Year,0)+1,0)</f>
        <v>352</v>
      </c>
      <c r="P11">
        <f ca="1">VLOOKUP($K11,RawData!$A$1:$AE$38,MATCH(Dashboard!P$9,Year,0)+1,0)</f>
        <v>102</v>
      </c>
      <c r="Q11">
        <f ca="1">VLOOKUP($K11,RawData!$A$1:$AE$38,MATCH(Dashboard!Q$9,Year,0)+1,0)</f>
        <v>343</v>
      </c>
      <c r="R11">
        <f ca="1">VLOOKUP($K11,RawData!$A$1:$AE$38,MATCH(Dashboard!R$9,Year,0)+1,0)</f>
        <v>1085</v>
      </c>
      <c r="S11">
        <f t="shared" ref="S11:S19" ca="1" si="1">SUM($L11:$R11)</f>
        <v>3225</v>
      </c>
    </row>
    <row r="12" spans="2:21" x14ac:dyDescent="0.3">
      <c r="K12" t="str">
        <v>ANAND SINGH RAJPUT</v>
      </c>
      <c r="L12">
        <f ca="1">VLOOKUP($K12,RawData!$A$1:$AE$38,MATCH(Dashboard!L$9,Year,0)+1,0)</f>
        <v>1078</v>
      </c>
      <c r="M12">
        <f ca="1">VLOOKUP($K12,RawData!$A$1:$AE$38,MATCH(Dashboard!M$9,Year,0)+1,0)</f>
        <v>161</v>
      </c>
      <c r="N12">
        <f ca="1">VLOOKUP($K12,RawData!$A$1:$AE$38,MATCH(Dashboard!N$9,Year,0)+1,0)</f>
        <v>874</v>
      </c>
      <c r="O12">
        <f ca="1">VLOOKUP($K12,RawData!$A$1:$AE$38,MATCH(Dashboard!O$9,Year,0)+1,0)</f>
        <v>12</v>
      </c>
      <c r="P12">
        <f ca="1">VLOOKUP($K12,RawData!$A$1:$AE$38,MATCH(Dashboard!P$9,Year,0)+1,0)</f>
        <v>390</v>
      </c>
      <c r="Q12">
        <f ca="1">VLOOKUP($K12,RawData!$A$1:$AE$38,MATCH(Dashboard!Q$9,Year,0)+1,0)</f>
        <v>716</v>
      </c>
      <c r="R12">
        <f ca="1">VLOOKUP($K12,RawData!$A$1:$AE$38,MATCH(Dashboard!R$9,Year,0)+1,0)</f>
        <v>428</v>
      </c>
      <c r="S12">
        <f t="shared" ca="1" si="1"/>
        <v>3659</v>
      </c>
    </row>
    <row r="13" spans="2:21" x14ac:dyDescent="0.3">
      <c r="K13" t="str">
        <v>JAISHRI SAXENA</v>
      </c>
      <c r="L13">
        <f ca="1">VLOOKUP($K13,RawData!$A$1:$AE$38,MATCH(Dashboard!L$9,Year,0)+1,0)</f>
        <v>1009</v>
      </c>
      <c r="M13">
        <f ca="1">VLOOKUP($K13,RawData!$A$1:$AE$38,MATCH(Dashboard!M$9,Year,0)+1,0)</f>
        <v>860</v>
      </c>
      <c r="N13">
        <f ca="1">VLOOKUP($K13,RawData!$A$1:$AE$38,MATCH(Dashboard!N$9,Year,0)+1,0)</f>
        <v>1001</v>
      </c>
      <c r="O13">
        <f ca="1">VLOOKUP($K13,RawData!$A$1:$AE$38,MATCH(Dashboard!O$9,Year,0)+1,0)</f>
        <v>571</v>
      </c>
      <c r="P13">
        <f ca="1">VLOOKUP($K13,RawData!$A$1:$AE$38,MATCH(Dashboard!P$9,Year,0)+1,0)</f>
        <v>26</v>
      </c>
      <c r="Q13">
        <f ca="1">VLOOKUP($K13,RawData!$A$1:$AE$38,MATCH(Dashboard!Q$9,Year,0)+1,0)</f>
        <v>1031</v>
      </c>
      <c r="R13">
        <f ca="1">VLOOKUP($K13,RawData!$A$1:$AE$38,MATCH(Dashboard!R$9,Year,0)+1,0)</f>
        <v>475</v>
      </c>
      <c r="S13">
        <f t="shared" ca="1" si="1"/>
        <v>4973</v>
      </c>
    </row>
    <row r="14" spans="2:21" x14ac:dyDescent="0.3">
      <c r="K14" t="str">
        <v>VIRENDER SROHA</v>
      </c>
      <c r="L14">
        <f ca="1">VLOOKUP($K14,RawData!$A$1:$AE$38,MATCH(Dashboard!L$9,Year,0)+1,0)</f>
        <v>971</v>
      </c>
      <c r="M14">
        <f ca="1">VLOOKUP($K14,RawData!$A$1:$AE$38,MATCH(Dashboard!M$9,Year,0)+1,0)</f>
        <v>392</v>
      </c>
      <c r="N14">
        <f ca="1">VLOOKUP($K14,RawData!$A$1:$AE$38,MATCH(Dashboard!N$9,Year,0)+1,0)</f>
        <v>845</v>
      </c>
      <c r="O14">
        <f ca="1">VLOOKUP($K14,RawData!$A$1:$AE$38,MATCH(Dashboard!O$9,Year,0)+1,0)</f>
        <v>567</v>
      </c>
      <c r="P14">
        <f ca="1">VLOOKUP($K14,RawData!$A$1:$AE$38,MATCH(Dashboard!P$9,Year,0)+1,0)</f>
        <v>752</v>
      </c>
      <c r="Q14">
        <f ca="1">VLOOKUP($K14,RawData!$A$1:$AE$38,MATCH(Dashboard!Q$9,Year,0)+1,0)</f>
        <v>218</v>
      </c>
      <c r="R14">
        <f ca="1">VLOOKUP($K14,RawData!$A$1:$AE$38,MATCH(Dashboard!R$9,Year,0)+1,0)</f>
        <v>500</v>
      </c>
      <c r="S14">
        <f t="shared" ca="1" si="1"/>
        <v>4245</v>
      </c>
    </row>
    <row r="15" spans="2:21" x14ac:dyDescent="0.3">
      <c r="B15" s="7" t="s">
        <v>5</v>
      </c>
      <c r="C15" s="7">
        <f ca="1">OFFSET(RawData!$A$1,1,COLUMN(RawData!A$2)+Dashboard!$G$3)</f>
        <v>2021</v>
      </c>
      <c r="D15" s="7">
        <f ca="1">OFFSET(RawData!$A$1,1,COLUMN(RawData!B$2)+Dashboard!$G$3)</f>
        <v>2022</v>
      </c>
      <c r="E15" s="7">
        <f ca="1">OFFSET(RawData!$A$1,1,COLUMN(RawData!C$2)+Dashboard!$G$3)</f>
        <v>2023</v>
      </c>
      <c r="F15" s="7">
        <f ca="1">OFFSET(RawData!$A$1,1,COLUMN(RawData!D$2)+Dashboard!$G$3)</f>
        <v>2024</v>
      </c>
      <c r="G15" s="7">
        <f ca="1">OFFSET(RawData!$A$1,1,COLUMN(RawData!E$2)+Dashboard!$G$3)</f>
        <v>2025</v>
      </c>
      <c r="H15" s="7">
        <f ca="1">OFFSET(RawData!$A$1,1,COLUMN(RawData!F$2)+Dashboard!$G$3)</f>
        <v>2026</v>
      </c>
      <c r="I15" s="7">
        <f ca="1">OFFSET(RawData!$A$1,1,COLUMN(RawData!G$2)+Dashboard!$G$3)</f>
        <v>2027</v>
      </c>
      <c r="K15" t="str">
        <v>SANDEEP ASWAL</v>
      </c>
      <c r="L15">
        <f ca="1">VLOOKUP($K15,RawData!$A$1:$AE$38,MATCH(Dashboard!L$9,Year,0)+1,0)</f>
        <v>16</v>
      </c>
      <c r="M15">
        <f ca="1">VLOOKUP($K15,RawData!$A$1:$AE$38,MATCH(Dashboard!M$9,Year,0)+1,0)</f>
        <v>923</v>
      </c>
      <c r="N15">
        <f ca="1">VLOOKUP($K15,RawData!$A$1:$AE$38,MATCH(Dashboard!N$9,Year,0)+1,0)</f>
        <v>18</v>
      </c>
      <c r="O15">
        <f ca="1">VLOOKUP($K15,RawData!$A$1:$AE$38,MATCH(Dashboard!O$9,Year,0)+1,0)</f>
        <v>1059</v>
      </c>
      <c r="P15">
        <f ca="1">VLOOKUP($K15,RawData!$A$1:$AE$38,MATCH(Dashboard!P$9,Year,0)+1,0)</f>
        <v>844</v>
      </c>
      <c r="Q15">
        <f ca="1">VLOOKUP($K15,RawData!$A$1:$AE$38,MATCH(Dashboard!Q$9,Year,0)+1,0)</f>
        <v>256</v>
      </c>
      <c r="R15">
        <f ca="1">VLOOKUP($K15,RawData!$A$1:$AE$38,MATCH(Dashboard!R$9,Year,0)+1,0)</f>
        <v>961</v>
      </c>
      <c r="S15">
        <f t="shared" ca="1" si="1"/>
        <v>4077</v>
      </c>
    </row>
    <row r="16" spans="2:21" x14ac:dyDescent="0.3">
      <c r="B16" s="7" t="str">
        <f ca="1">OFFSET(RawData!$A$2,($E$3-1)*13 +Dashboard!$F$3,0)</f>
        <v>SUDHAKAR ARYA</v>
      </c>
      <c r="C16" s="6">
        <f ca="1">VLOOKUP($B$16,RawData!$A$1:$AE$38,MATCH(C$15,RawData!$A$2:$AE$2,0),0)</f>
        <v>458</v>
      </c>
      <c r="D16" s="6">
        <f ca="1">VLOOKUP($B$16,RawData!$A$1:$AE$38,MATCH(D$15,RawData!$A$2:$AE$2,0),0)</f>
        <v>906</v>
      </c>
      <c r="E16" s="6">
        <f ca="1">VLOOKUP($B$16,RawData!$A$1:$AE$38,MATCH(E$15,RawData!$A$2:$AE$2,0),0)</f>
        <v>830</v>
      </c>
      <c r="F16" s="6">
        <f ca="1">VLOOKUP($B$16,RawData!$A$1:$AE$38,MATCH(F$15,RawData!$A$2:$AE$2,0),0)</f>
        <v>245</v>
      </c>
      <c r="G16" s="6">
        <f ca="1">VLOOKUP($B$16,RawData!$A$1:$AE$38,MATCH(G$15,RawData!$A$2:$AE$2,0),0)</f>
        <v>402</v>
      </c>
      <c r="H16" s="6">
        <f ca="1">VLOOKUP($B$16,RawData!$A$1:$AE$38,MATCH(H$15,RawData!$A$2:$AE$2,0),0)</f>
        <v>256</v>
      </c>
      <c r="I16" s="6">
        <f ca="1">VLOOKUP($B$16,RawData!$A$1:$AE$38,MATCH(I$15,RawData!$A$2:$AE$2,0),0)</f>
        <v>24</v>
      </c>
      <c r="K16" t="str">
        <v>KARAN KAPOOR</v>
      </c>
      <c r="L16">
        <f ca="1">VLOOKUP($K16,RawData!$A$1:$AE$38,MATCH(Dashboard!L$9,Year,0)+1,0)</f>
        <v>234</v>
      </c>
      <c r="M16">
        <f ca="1">VLOOKUP($K16,RawData!$A$1:$AE$38,MATCH(Dashboard!M$9,Year,0)+1,0)</f>
        <v>407</v>
      </c>
      <c r="N16">
        <f ca="1">VLOOKUP($K16,RawData!$A$1:$AE$38,MATCH(Dashboard!N$9,Year,0)+1,0)</f>
        <v>899</v>
      </c>
      <c r="O16">
        <f ca="1">VLOOKUP($K16,RawData!$A$1:$AE$38,MATCH(Dashboard!O$9,Year,0)+1,0)</f>
        <v>876</v>
      </c>
      <c r="P16">
        <f ca="1">VLOOKUP($K16,RawData!$A$1:$AE$38,MATCH(Dashboard!P$9,Year,0)+1,0)</f>
        <v>1041</v>
      </c>
      <c r="Q16">
        <f ca="1">VLOOKUP($K16,RawData!$A$1:$AE$38,MATCH(Dashboard!Q$9,Year,0)+1,0)</f>
        <v>1001</v>
      </c>
      <c r="R16">
        <f ca="1">VLOOKUP($K16,RawData!$A$1:$AE$38,MATCH(Dashboard!R$9,Year,0)+1,0)</f>
        <v>110</v>
      </c>
      <c r="S16">
        <f t="shared" ca="1" si="1"/>
        <v>4568</v>
      </c>
    </row>
    <row r="17" spans="2:21" x14ac:dyDescent="0.3">
      <c r="B17" s="7" t="s">
        <v>6</v>
      </c>
      <c r="C17" s="6">
        <f ca="1">C16+RANDBETWEEN(0,200)</f>
        <v>642</v>
      </c>
      <c r="D17" s="6">
        <f t="shared" ref="D17:I17" ca="1" si="2">D16+RANDBETWEEN(0,200)</f>
        <v>948</v>
      </c>
      <c r="E17" s="6">
        <f t="shared" ca="1" si="2"/>
        <v>904</v>
      </c>
      <c r="F17" s="6">
        <f t="shared" ca="1" si="2"/>
        <v>336</v>
      </c>
      <c r="G17" s="6">
        <f t="shared" ca="1" si="2"/>
        <v>589</v>
      </c>
      <c r="H17" s="6">
        <f t="shared" ca="1" si="2"/>
        <v>307</v>
      </c>
      <c r="I17" s="6">
        <f t="shared" ca="1" si="2"/>
        <v>165</v>
      </c>
      <c r="K17" t="str">
        <v>SUDHAKAR ARYA</v>
      </c>
      <c r="L17">
        <f ca="1">VLOOKUP($K17,RawData!$A$1:$AE$38,MATCH(Dashboard!L$9,Year,0)+1,0)</f>
        <v>458</v>
      </c>
      <c r="M17">
        <f ca="1">VLOOKUP($K17,RawData!$A$1:$AE$38,MATCH(Dashboard!M$9,Year,0)+1,0)</f>
        <v>906</v>
      </c>
      <c r="N17">
        <f ca="1">VLOOKUP($K17,RawData!$A$1:$AE$38,MATCH(Dashboard!N$9,Year,0)+1,0)</f>
        <v>830</v>
      </c>
      <c r="O17">
        <f ca="1">VLOOKUP($K17,RawData!$A$1:$AE$38,MATCH(Dashboard!O$9,Year,0)+1,0)</f>
        <v>245</v>
      </c>
      <c r="P17">
        <f ca="1">VLOOKUP($K17,RawData!$A$1:$AE$38,MATCH(Dashboard!P$9,Year,0)+1,0)</f>
        <v>402</v>
      </c>
      <c r="Q17">
        <f ca="1">VLOOKUP($K17,RawData!$A$1:$AE$38,MATCH(Dashboard!Q$9,Year,0)+1,0)</f>
        <v>256</v>
      </c>
      <c r="R17">
        <f ca="1">VLOOKUP($K17,RawData!$A$1:$AE$38,MATCH(Dashboard!R$9,Year,0)+1,0)</f>
        <v>24</v>
      </c>
      <c r="S17">
        <f t="shared" ca="1" si="1"/>
        <v>3121</v>
      </c>
    </row>
    <row r="18" spans="2:21" x14ac:dyDescent="0.3">
      <c r="K18" t="str">
        <v>ARJUN SHAW</v>
      </c>
      <c r="L18">
        <f ca="1">VLOOKUP($K18,RawData!$A$1:$AE$38,MATCH(Dashboard!L$9,Year,0)+1,0)</f>
        <v>474</v>
      </c>
      <c r="M18">
        <f ca="1">VLOOKUP($K18,RawData!$A$1:$AE$38,MATCH(Dashboard!M$9,Year,0)+1,0)</f>
        <v>36</v>
      </c>
      <c r="N18">
        <f ca="1">VLOOKUP($K18,RawData!$A$1:$AE$38,MATCH(Dashboard!N$9,Year,0)+1,0)</f>
        <v>85</v>
      </c>
      <c r="O18">
        <f ca="1">VLOOKUP($K18,RawData!$A$1:$AE$38,MATCH(Dashboard!O$9,Year,0)+1,0)</f>
        <v>206</v>
      </c>
      <c r="P18">
        <f ca="1">VLOOKUP($K18,RawData!$A$1:$AE$38,MATCH(Dashboard!P$9,Year,0)+1,0)</f>
        <v>794</v>
      </c>
      <c r="Q18">
        <f ca="1">VLOOKUP($K18,RawData!$A$1:$AE$38,MATCH(Dashboard!Q$9,Year,0)+1,0)</f>
        <v>151</v>
      </c>
      <c r="R18">
        <f ca="1">VLOOKUP($K18,RawData!$A$1:$AE$38,MATCH(Dashboard!R$9,Year,0)+1,0)</f>
        <v>624</v>
      </c>
      <c r="S18">
        <f t="shared" ca="1" si="1"/>
        <v>2370</v>
      </c>
    </row>
    <row r="19" spans="2:21" x14ac:dyDescent="0.3">
      <c r="B19" s="7" t="s">
        <v>4</v>
      </c>
      <c r="C19" s="7">
        <f ca="1">C15</f>
        <v>2021</v>
      </c>
      <c r="D19" s="7">
        <f t="shared" ref="D19:I19" ca="1" si="3">D15</f>
        <v>2022</v>
      </c>
      <c r="E19" s="7">
        <f t="shared" ca="1" si="3"/>
        <v>2023</v>
      </c>
      <c r="F19" s="7">
        <f t="shared" ca="1" si="3"/>
        <v>2024</v>
      </c>
      <c r="G19" s="7">
        <f t="shared" ca="1" si="3"/>
        <v>2025</v>
      </c>
      <c r="H19" s="7">
        <f t="shared" ca="1" si="3"/>
        <v>2026</v>
      </c>
      <c r="I19" s="7">
        <f t="shared" ca="1" si="3"/>
        <v>2027</v>
      </c>
      <c r="J19" t="s">
        <v>40</v>
      </c>
      <c r="K19" t="str">
        <v>MANPREET KAUR</v>
      </c>
      <c r="L19">
        <f ca="1">VLOOKUP($K19,RawData!$A$1:$AE$38,MATCH(Dashboard!L$9,Year,0)+1,0)</f>
        <v>1038</v>
      </c>
      <c r="M19">
        <f ca="1">VLOOKUP($K19,RawData!$A$1:$AE$38,MATCH(Dashboard!M$9,Year,0)+1,0)</f>
        <v>32</v>
      </c>
      <c r="N19">
        <f ca="1">VLOOKUP($K19,RawData!$A$1:$AE$38,MATCH(Dashboard!N$9,Year,0)+1,0)</f>
        <v>494</v>
      </c>
      <c r="O19">
        <f ca="1">VLOOKUP($K19,RawData!$A$1:$AE$38,MATCH(Dashboard!O$9,Year,0)+1,0)</f>
        <v>121</v>
      </c>
      <c r="P19">
        <f ca="1">VLOOKUP($K19,RawData!$A$1:$AE$38,MATCH(Dashboard!P$9,Year,0)+1,0)</f>
        <v>942</v>
      </c>
      <c r="Q19">
        <f ca="1">VLOOKUP($K19,RawData!$A$1:$AE$38,MATCH(Dashboard!Q$9,Year,0)+1,0)</f>
        <v>485</v>
      </c>
      <c r="R19">
        <f ca="1">VLOOKUP($K19,RawData!$A$1:$AE$38,MATCH(Dashboard!R$9,Year,0)+1,0)</f>
        <v>448</v>
      </c>
      <c r="S19">
        <f t="shared" ca="1" si="1"/>
        <v>3560</v>
      </c>
    </row>
    <row r="20" spans="2:21" ht="15" thickBot="1" x14ac:dyDescent="0.35">
      <c r="B20" s="7" t="s">
        <v>37</v>
      </c>
      <c r="C20" s="9" cm="1">
        <f t="array" aca="1" ref="C20" ca="1">SUMPRODUCT((Year=C$19)*INDIRECT($B20&amp;"_Data"))</f>
        <v>4844</v>
      </c>
      <c r="D20" s="9" cm="1">
        <f t="array" aca="1" ref="D20" ca="1">SUMPRODUCT((Year=D$19)*INDIRECT($B20&amp;"_Data"))</f>
        <v>4206</v>
      </c>
      <c r="E20" s="9" cm="1">
        <f t="array" aca="1" ref="E20" ca="1">SUMPRODUCT((Year=E$19)*INDIRECT($B20&amp;"_Data"))</f>
        <v>4146</v>
      </c>
      <c r="F20" s="9" cm="1">
        <f t="array" aca="1" ref="F20" ca="1">SUMPRODUCT((Year=F$19)*INDIRECT($B20&amp;"_Data"))</f>
        <v>3465</v>
      </c>
      <c r="G20" s="9" cm="1">
        <f t="array" aca="1" ref="G20" ca="1">SUMPRODUCT((Year=G$19)*INDIRECT($B20&amp;"_Data"))</f>
        <v>5370</v>
      </c>
      <c r="H20" s="9" cm="1">
        <f t="array" aca="1" ref="H20" ca="1">SUMPRODUCT((Year=H$19)*INDIRECT($B20&amp;"_Data"))</f>
        <v>3987</v>
      </c>
      <c r="I20" s="9" cm="1">
        <f t="array" aca="1" ref="I20" ca="1">SUMPRODUCT((Year=I$19)*INDIRECT($B20&amp;"_Data"))</f>
        <v>3418</v>
      </c>
      <c r="Q20" s="10" t="s">
        <v>48</v>
      </c>
    </row>
    <row r="21" spans="2:21" ht="15.6" thickTop="1" thickBot="1" x14ac:dyDescent="0.35">
      <c r="B21" s="7" t="s">
        <v>38</v>
      </c>
      <c r="C21" s="9" cm="1">
        <f t="array" aca="1" ref="C21" ca="1">SUMPRODUCT((Year=C$19)*INDIRECT($B21&amp;"_Data"))</f>
        <v>6647</v>
      </c>
      <c r="D21" s="9" cm="1">
        <f t="array" aca="1" ref="D21" ca="1">SUMPRODUCT((Year=D$19)*INDIRECT($B21&amp;"_Data"))</f>
        <v>4984</v>
      </c>
      <c r="E21" s="9" cm="1">
        <f t="array" aca="1" ref="E21" ca="1">SUMPRODUCT((Year=E$19)*INDIRECT($B21&amp;"_Data"))</f>
        <v>6277</v>
      </c>
      <c r="F21" s="9" cm="1">
        <f t="array" aca="1" ref="F21" ca="1">SUMPRODUCT((Year=F$19)*INDIRECT($B21&amp;"_Data"))</f>
        <v>5716</v>
      </c>
      <c r="G21" s="9" cm="1">
        <f t="array" aca="1" ref="G21" ca="1">SUMPRODUCT((Year=G$19)*INDIRECT($B21&amp;"_Data"))</f>
        <v>6106</v>
      </c>
      <c r="H21" s="9" cm="1">
        <f t="array" aca="1" ref="H21" ca="1">SUMPRODUCT((Year=H$19)*INDIRECT($B21&amp;"_Data"))</f>
        <v>4331</v>
      </c>
      <c r="I21" s="9" cm="1">
        <f t="array" aca="1" ref="I21" ca="1">SUMPRODUCT((Year=I$19)*INDIRECT($B21&amp;"_Data"))</f>
        <v>4949</v>
      </c>
      <c r="Q21" t="s">
        <v>47</v>
      </c>
      <c r="R21" t="s">
        <v>46</v>
      </c>
    </row>
    <row r="22" spans="2:21" ht="15.6" thickTop="1" thickBot="1" x14ac:dyDescent="0.35">
      <c r="B22" s="7" t="s">
        <v>3</v>
      </c>
      <c r="C22" s="9" cm="1">
        <f t="array" aca="1" ref="C22" ca="1">SUMPRODUCT((Year=C$19)*INDIRECT($B22&amp;"_Data"))</f>
        <v>4497</v>
      </c>
      <c r="D22" s="9" cm="1">
        <f t="array" aca="1" ref="D22" ca="1">SUMPRODUCT((Year=D$19)*INDIRECT($B22&amp;"_Data"))</f>
        <v>4474</v>
      </c>
      <c r="E22" s="9" cm="1">
        <f t="array" aca="1" ref="E22" ca="1">SUMPRODUCT((Year=E$19)*INDIRECT($B22&amp;"_Data"))</f>
        <v>4528</v>
      </c>
      <c r="F22" s="9" cm="1">
        <f t="array" aca="1" ref="F22" ca="1">SUMPRODUCT((Year=F$19)*INDIRECT($B22&amp;"_Data"))</f>
        <v>2762</v>
      </c>
      <c r="G22" s="9" cm="1">
        <f t="array" aca="1" ref="G22" ca="1">SUMPRODUCT((Year=G$19)*INDIRECT($B22&amp;"_Data"))</f>
        <v>4163</v>
      </c>
      <c r="H22" s="9" cm="1">
        <f t="array" aca="1" ref="H22" ca="1">SUMPRODUCT((Year=H$19)*INDIRECT($B22&amp;"_Data"))</f>
        <v>7105</v>
      </c>
      <c r="I22" s="9" cm="1">
        <f t="array" aca="1" ref="I22" ca="1">SUMPRODUCT((Year=I$19)*INDIRECT($B22&amp;"_Data"))</f>
        <v>4721</v>
      </c>
      <c r="P22" t="str" cm="1">
        <f t="array" ref="P22:P24">B20:B22</f>
        <v>FINANCE</v>
      </c>
      <c r="Q22">
        <f ca="1">MAX(Q25:Q34)</f>
        <v>4156</v>
      </c>
      <c r="R22" t="str">
        <f ca="1">_xlfn.XLOOKUP($Q$22,$Q$25:$Q$34,$P$25:$P$34)</f>
        <v>SINTU KUMAR</v>
      </c>
    </row>
    <row r="23" spans="2:21" ht="15.6" thickTop="1" thickBot="1" x14ac:dyDescent="0.35">
      <c r="B23" s="7" t="s">
        <v>39</v>
      </c>
      <c r="C23" s="5">
        <f ca="1">SUM(C$20:C$22)</f>
        <v>15988</v>
      </c>
      <c r="D23" s="5">
        <f t="shared" ref="D23:I23" ca="1" si="4">SUM(D$20:D$22)</f>
        <v>13664</v>
      </c>
      <c r="E23" s="5">
        <f t="shared" ca="1" si="4"/>
        <v>14951</v>
      </c>
      <c r="F23" s="5">
        <f t="shared" ca="1" si="4"/>
        <v>11943</v>
      </c>
      <c r="G23" s="5">
        <f t="shared" ca="1" si="4"/>
        <v>15639</v>
      </c>
      <c r="H23" s="5">
        <f t="shared" ca="1" si="4"/>
        <v>15423</v>
      </c>
      <c r="I23" s="5">
        <f t="shared" ca="1" si="4"/>
        <v>13088</v>
      </c>
      <c r="P23" t="str">
        <v>OPERATION</v>
      </c>
      <c r="Q23">
        <f ca="1">MAX($S$25:$S$34)</f>
        <v>4973</v>
      </c>
      <c r="R23" t="str" cm="1">
        <f t="array" aca="1" ref="R23" ca="1">_xlfn.XLOOKUP($Q$23,$S$25:$S$34,_xlfn.ANCHORARRAY($R$25))</f>
        <v>JAISHRI SAXENA</v>
      </c>
    </row>
    <row r="24" spans="2:21" ht="15" thickTop="1" x14ac:dyDescent="0.3">
      <c r="P24" t="str">
        <v>HR</v>
      </c>
      <c r="Q24">
        <f ca="1">MAX($U$25:$U$34)</f>
        <v>4200</v>
      </c>
      <c r="R24" t="str" cm="1">
        <f t="array" aca="1" ref="R24" ca="1">_xlfn.XLOOKUP($Q$24,$U$25:$U$34,_xlfn.ANCHORARRAY($T$25))</f>
        <v>VICKY SINGH</v>
      </c>
    </row>
    <row r="25" spans="2:21" x14ac:dyDescent="0.3">
      <c r="B25" s="7" t="s">
        <v>5</v>
      </c>
      <c r="C25" s="7" t="str" cm="1">
        <f t="array" aca="1" ref="C25:E32" ca="1">TRANSPOSE($B$20:$I$22)</f>
        <v>FINANCE</v>
      </c>
      <c r="D25" s="7" t="str">
        <f ca="1"/>
        <v>OPERATION</v>
      </c>
      <c r="E25" s="7" t="str">
        <f ca="1"/>
        <v>HR</v>
      </c>
      <c r="F25" s="7" t="s">
        <v>41</v>
      </c>
      <c r="G25" s="12" t="s">
        <v>42</v>
      </c>
      <c r="H25" s="12"/>
      <c r="P25" t="str" cm="1">
        <f t="array" ref="P25:P34">Finance</f>
        <v>SUJATA MOHANTY</v>
      </c>
      <c r="Q25" cm="1">
        <f t="array" aca="1" ref="Q25" ca="1">SUMPRODUCT((Year&gt;=$C$15)*(Year&lt;=$I$15)*(Finance=$P25),Finance_Data)</f>
        <v>2923</v>
      </c>
      <c r="R25" t="str" cm="1">
        <f t="array" ref="R25:R34">Operation</f>
        <v>HARIVANSH GAUTAM</v>
      </c>
      <c r="S25" cm="1">
        <f t="array" aca="1" ref="S25" ca="1">SUMPRODUCT((Year&gt;=$C$15)*(Year&lt;=$I$15)*(Operation=$R25),Operation_Data)</f>
        <v>3456</v>
      </c>
      <c r="T25" t="str" cm="1">
        <f t="array" ref="T25:T34">HR</f>
        <v>EKANSHIKA KALRA</v>
      </c>
      <c r="U25" cm="1">
        <f t="array" aca="1" ref="U25" ca="1">SUMPRODUCT((Year&gt;=$C$15)*(Year&lt;=$I$15)*(HR=$T25),HR_Data)</f>
        <v>3875</v>
      </c>
    </row>
    <row r="26" spans="2:21" ht="15" thickBot="1" x14ac:dyDescent="0.35">
      <c r="B26" s="7" cm="1">
        <f t="array" aca="1" ref="B26:B32" ca="1">TRANSPOSE($C$19:$I$19)</f>
        <v>2021</v>
      </c>
      <c r="C26" s="9">
        <f ca="1"/>
        <v>4844</v>
      </c>
      <c r="D26" s="9">
        <f ca="1"/>
        <v>6647</v>
      </c>
      <c r="E26" s="9">
        <f ca="1"/>
        <v>4497</v>
      </c>
      <c r="F26">
        <f ca="1">AVERAGE($C26:$E26)</f>
        <v>5329.333333333333</v>
      </c>
      <c r="G26" s="11"/>
      <c r="H26" s="11"/>
      <c r="P26" t="str">
        <v>SURAJ RAJPUT</v>
      </c>
      <c r="Q26" cm="1">
        <f t="array" aca="1" ref="Q26" ca="1">SUMPRODUCT((Year&gt;=$C$15)*(Year&lt;=$I$15)*(Finance=$P26),Finance_Data)</f>
        <v>2928</v>
      </c>
      <c r="R26" t="str">
        <v>VINI SAINI</v>
      </c>
      <c r="S26" cm="1">
        <f t="array" aca="1" ref="S26" ca="1">SUMPRODUCT((Year&gt;=$C$15)*(Year&lt;=$I$15)*(Operation=$R26),Operation_Data)</f>
        <v>3225</v>
      </c>
      <c r="T26" t="str">
        <v>HEMANT GUSAIN</v>
      </c>
      <c r="U26" cm="1">
        <f t="array" aca="1" ref="U26" ca="1">SUMPRODUCT((Year&gt;=$C$15)*(Year&lt;=$I$15)*(HR=$T26),HR_Data)</f>
        <v>3311</v>
      </c>
    </row>
    <row r="27" spans="2:21" ht="15.6" thickTop="1" thickBot="1" x14ac:dyDescent="0.35">
      <c r="B27" s="7">
        <f ca="1"/>
        <v>2022</v>
      </c>
      <c r="C27" s="9">
        <f ca="1"/>
        <v>4206</v>
      </c>
      <c r="D27" s="9">
        <f ca="1"/>
        <v>4984</v>
      </c>
      <c r="E27" s="9">
        <f ca="1"/>
        <v>4474</v>
      </c>
      <c r="F27">
        <f t="shared" ref="F27:F32" ca="1" si="5">AVERAGE($C27:$E27)</f>
        <v>4554.666666666667</v>
      </c>
      <c r="G27" s="11"/>
      <c r="H27" s="11"/>
      <c r="I27" t="str">
        <f ca="1">"Department wise sale ("&amp;$C$15&amp;" to "&amp;$I$15&amp;")"</f>
        <v>Department wise sale (2021 to 2027)</v>
      </c>
      <c r="P27" t="str">
        <v>PRAMOD BHAVSAR</v>
      </c>
      <c r="Q27" cm="1">
        <f t="array" aca="1" ref="Q27" ca="1">SUMPRODUCT((Year&gt;=$C$15)*(Year&lt;=$I$15)*(Finance=$P27),Finance_Data)</f>
        <v>2830</v>
      </c>
      <c r="R27" t="str">
        <v>ANAND SINGH RAJPUT</v>
      </c>
      <c r="S27" cm="1">
        <f t="array" aca="1" ref="S27" ca="1">SUMPRODUCT((Year&gt;=$C$15)*(Year&lt;=$I$15)*(Operation=$R27),Operation_Data)</f>
        <v>3659</v>
      </c>
      <c r="T27" t="str">
        <v>SARTHAK BHAGU</v>
      </c>
      <c r="U27" cm="1">
        <f t="array" aca="1" ref="U27" ca="1">SUMPRODUCT((Year&gt;=$C$15)*(Year&lt;=$I$15)*(HR=$T27),HR_Data)</f>
        <v>3610</v>
      </c>
    </row>
    <row r="28" spans="2:21" ht="15.6" thickTop="1" thickBot="1" x14ac:dyDescent="0.35">
      <c r="B28" s="7">
        <f ca="1"/>
        <v>2023</v>
      </c>
      <c r="C28" s="9">
        <f ca="1"/>
        <v>4146</v>
      </c>
      <c r="D28" s="9">
        <f ca="1"/>
        <v>6277</v>
      </c>
      <c r="E28" s="9">
        <f ca="1"/>
        <v>4528</v>
      </c>
      <c r="F28">
        <f t="shared" ca="1" si="5"/>
        <v>4983.666666666667</v>
      </c>
      <c r="G28" s="11"/>
      <c r="H28" s="11"/>
      <c r="P28" t="str">
        <v>SATSH OJHA</v>
      </c>
      <c r="Q28" cm="1">
        <f t="array" aca="1" ref="Q28" ca="1">SUMPRODUCT((Year&gt;=$C$15)*(Year&lt;=$I$15)*(Finance=$P28),Finance_Data)</f>
        <v>1839</v>
      </c>
      <c r="R28" t="str">
        <v>JAISHRI SAXENA</v>
      </c>
      <c r="S28" cm="1">
        <f t="array" aca="1" ref="S28" ca="1">SUMPRODUCT((Year&gt;=$C$15)*(Year&lt;=$I$15)*(Operation=$R28),Operation_Data)</f>
        <v>4973</v>
      </c>
      <c r="T28" t="str">
        <v>GOPALA KRISHNA</v>
      </c>
      <c r="U28" cm="1">
        <f t="array" aca="1" ref="U28" ca="1">SUMPRODUCT((Year&gt;=$C$15)*(Year&lt;=$I$15)*(HR=$T28),HR_Data)</f>
        <v>3242</v>
      </c>
    </row>
    <row r="29" spans="2:21" ht="15.6" thickTop="1" thickBot="1" x14ac:dyDescent="0.35">
      <c r="B29" s="7">
        <f ca="1"/>
        <v>2024</v>
      </c>
      <c r="C29" s="9">
        <f ca="1"/>
        <v>3465</v>
      </c>
      <c r="D29" s="9">
        <f ca="1"/>
        <v>5716</v>
      </c>
      <c r="E29" s="9">
        <f ca="1"/>
        <v>2762</v>
      </c>
      <c r="F29">
        <f t="shared" ca="1" si="5"/>
        <v>3981</v>
      </c>
      <c r="G29" s="11"/>
      <c r="H29" s="11"/>
      <c r="P29" t="str">
        <v>SINTU KUMAR</v>
      </c>
      <c r="Q29" cm="1">
        <f t="array" aca="1" ref="Q29" ca="1">SUMPRODUCT((Year&gt;=$C$15)*(Year&lt;=$I$15)*(Finance=$P29),Finance_Data)</f>
        <v>4156</v>
      </c>
      <c r="R29" t="str">
        <v>VIRENDER SROHA</v>
      </c>
      <c r="S29" cm="1">
        <f t="array" aca="1" ref="S29" ca="1">SUMPRODUCT((Year&gt;=$C$15)*(Year&lt;=$I$15)*(Operation=$R29),Operation_Data)</f>
        <v>4245</v>
      </c>
      <c r="T29" t="str">
        <v>PURAN SINGH</v>
      </c>
      <c r="U29" cm="1">
        <f t="array" aca="1" ref="U29" ca="1">SUMPRODUCT((Year&gt;=$C$15)*(Year&lt;=$I$15)*(HR=$T29),HR_Data)</f>
        <v>2810</v>
      </c>
    </row>
    <row r="30" spans="2:21" ht="15.6" thickTop="1" thickBot="1" x14ac:dyDescent="0.35">
      <c r="B30" s="7">
        <f ca="1"/>
        <v>2025</v>
      </c>
      <c r="C30" s="9">
        <f ca="1"/>
        <v>5370</v>
      </c>
      <c r="D30" s="9">
        <f ca="1"/>
        <v>6106</v>
      </c>
      <c r="E30" s="9">
        <f ca="1"/>
        <v>4163</v>
      </c>
      <c r="F30">
        <f t="shared" ca="1" si="5"/>
        <v>5213</v>
      </c>
      <c r="G30" s="11"/>
      <c r="H30" s="11"/>
      <c r="P30" t="str">
        <v>KRUTIKA SHELAR</v>
      </c>
      <c r="Q30" cm="1">
        <f t="array" aca="1" ref="Q30" ca="1">SUMPRODUCT((Year&gt;=$C$15)*(Year&lt;=$I$15)*(Finance=$P30),Finance_Data)</f>
        <v>1911</v>
      </c>
      <c r="R30" t="str">
        <v>SANDEEP ASWAL</v>
      </c>
      <c r="S30" cm="1">
        <f t="array" aca="1" ref="S30" ca="1">SUMPRODUCT((Year&gt;=$C$15)*(Year&lt;=$I$15)*(Operation=$R30),Operation_Data)</f>
        <v>4077</v>
      </c>
      <c r="T30" t="str">
        <v>ROHIT KUMAR</v>
      </c>
      <c r="U30" cm="1">
        <f t="array" aca="1" ref="U30" ca="1">SUMPRODUCT((Year&gt;=$C$15)*(Year&lt;=$I$15)*(HR=$T30),HR_Data)</f>
        <v>2316</v>
      </c>
    </row>
    <row r="31" spans="2:21" ht="15.6" thickTop="1" thickBot="1" x14ac:dyDescent="0.35">
      <c r="B31" s="7">
        <f ca="1"/>
        <v>2026</v>
      </c>
      <c r="C31" s="9">
        <f ca="1"/>
        <v>3987</v>
      </c>
      <c r="D31" s="9">
        <f ca="1"/>
        <v>4331</v>
      </c>
      <c r="E31" s="9">
        <f ca="1"/>
        <v>7105</v>
      </c>
      <c r="F31">
        <f t="shared" ca="1" si="5"/>
        <v>5141</v>
      </c>
      <c r="G31" s="11"/>
      <c r="H31" s="11"/>
      <c r="P31" t="str">
        <v>ARJUN SHAW</v>
      </c>
      <c r="Q31" cm="1">
        <f t="array" aca="1" ref="Q31" ca="1">SUMPRODUCT((Year&gt;=$C$15)*(Year&lt;=$I$15)*(Finance=$P31),Finance_Data)</f>
        <v>2370</v>
      </c>
      <c r="R31" t="str">
        <v>KARAN KAPOOR</v>
      </c>
      <c r="S31" cm="1">
        <f t="array" aca="1" ref="S31" ca="1">SUMPRODUCT((Year&gt;=$C$15)*(Year&lt;=$I$15)*(Operation=$R31),Operation_Data)</f>
        <v>4568</v>
      </c>
      <c r="T31" t="str">
        <v>VENKAT REDDY</v>
      </c>
      <c r="U31" cm="1">
        <f t="array" aca="1" ref="U31" ca="1">SUMPRODUCT((Year&gt;=$C$15)*(Year&lt;=$I$15)*(HR=$T31),HR_Data)</f>
        <v>3429</v>
      </c>
    </row>
    <row r="32" spans="2:21" ht="15.6" thickTop="1" thickBot="1" x14ac:dyDescent="0.35">
      <c r="B32" s="7">
        <f ca="1"/>
        <v>2027</v>
      </c>
      <c r="C32" s="9">
        <f ca="1"/>
        <v>3418</v>
      </c>
      <c r="D32" s="9">
        <f ca="1"/>
        <v>4949</v>
      </c>
      <c r="E32" s="9">
        <f ca="1"/>
        <v>4721</v>
      </c>
      <c r="F32">
        <f t="shared" ca="1" si="5"/>
        <v>4362.666666666667</v>
      </c>
      <c r="G32" s="11"/>
      <c r="H32" s="11"/>
      <c r="P32" t="str">
        <v>SHRIKANT BADGE</v>
      </c>
      <c r="Q32" cm="1">
        <f t="array" aca="1" ref="Q32" ca="1">SUMPRODUCT((Year&gt;=$C$15)*(Year&lt;=$I$15)*(Finance=$P32),Finance_Data)</f>
        <v>3049</v>
      </c>
      <c r="R32" t="str">
        <v>SUDHAKAR ARYA</v>
      </c>
      <c r="S32" cm="1">
        <f t="array" aca="1" ref="S32" ca="1">SUMPRODUCT((Year&gt;=$C$15)*(Year&lt;=$I$15)*(Operation=$R32),Operation_Data)</f>
        <v>3121</v>
      </c>
      <c r="T32" t="str">
        <v>MANJEET ANAND</v>
      </c>
      <c r="U32" cm="1">
        <f t="array" aca="1" ref="U32" ca="1">SUMPRODUCT((Year&gt;=$C$15)*(Year&lt;=$I$15)*(HR=$T32),HR_Data)</f>
        <v>3564</v>
      </c>
    </row>
    <row r="33" spans="2:21" ht="15" thickTop="1" x14ac:dyDescent="0.3">
      <c r="B33" s="8" t="s">
        <v>43</v>
      </c>
      <c r="C33" s="8">
        <f ca="1">SUM(C$26:C$32)</f>
        <v>29436</v>
      </c>
      <c r="D33" s="8">
        <f t="shared" ref="D33:E33" ca="1" si="6">SUM(D$26:D$32)</f>
        <v>39010</v>
      </c>
      <c r="E33" s="8">
        <f t="shared" ca="1" si="6"/>
        <v>32250</v>
      </c>
      <c r="P33" t="str">
        <v>JITENDER KUMAR</v>
      </c>
      <c r="Q33" cm="1">
        <f t="array" aca="1" ref="Q33" ca="1">SUMPRODUCT((Year&gt;=$C$15)*(Year&lt;=$I$15)*(Finance=$P33),Finance_Data)</f>
        <v>3966</v>
      </c>
      <c r="R33" t="str">
        <v>ARJUN SHAW</v>
      </c>
      <c r="S33" cm="1">
        <f t="array" aca="1" ref="S33" ca="1">SUMPRODUCT((Year&gt;=$C$15)*(Year&lt;=$I$15)*(Operation=$R33),Operation_Data)</f>
        <v>4126</v>
      </c>
      <c r="T33" t="str">
        <v>VICKY SINGH</v>
      </c>
      <c r="U33" cm="1">
        <f t="array" aca="1" ref="U33" ca="1">SUMPRODUCT((Year&gt;=$C$15)*(Year&lt;=$I$15)*(HR=$T33),HR_Data)</f>
        <v>4200</v>
      </c>
    </row>
    <row r="34" spans="2:21" ht="15" thickBot="1" x14ac:dyDescent="0.35">
      <c r="B34" s="8" t="s">
        <v>45</v>
      </c>
      <c r="C34" s="5"/>
      <c r="D34" s="5"/>
      <c r="E34" s="5"/>
      <c r="P34" t="str">
        <v>DHARMENDAR RANA</v>
      </c>
      <c r="Q34" cm="1">
        <f t="array" aca="1" ref="Q34" ca="1">SUMPRODUCT((Year&gt;=$C$15)*(Year&lt;=$I$15)*(Finance=$P34),Finance_Data)</f>
        <v>3464</v>
      </c>
      <c r="R34" t="str">
        <v>MANPREET KAUR</v>
      </c>
      <c r="S34" cm="1">
        <f t="array" aca="1" ref="S34" ca="1">SUMPRODUCT((Year&gt;=$C$15)*(Year&lt;=$I$15)*(Operation=$R34),Operation_Data)</f>
        <v>3560</v>
      </c>
      <c r="T34" t="str">
        <v>TEJPAL SAIN</v>
      </c>
      <c r="U34" cm="1">
        <f t="array" aca="1" ref="U34" ca="1">SUMPRODUCT((Year&gt;=$C$15)*(Year&lt;=$I$15)*(HR=$T34),HR_Data)</f>
        <v>1893</v>
      </c>
    </row>
    <row r="35" spans="2:21" ht="15" thickTop="1" x14ac:dyDescent="0.3"/>
  </sheetData>
  <mergeCells count="8">
    <mergeCell ref="G32:H32"/>
    <mergeCell ref="G30:H30"/>
    <mergeCell ref="G31:H31"/>
    <mergeCell ref="G25:H25"/>
    <mergeCell ref="G26:H26"/>
    <mergeCell ref="G27:H27"/>
    <mergeCell ref="G28:H28"/>
    <mergeCell ref="G29:H29"/>
  </mergeCells>
  <conditionalFormatting sqref="F26:F32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{80A82C45-5521-4215-A52E-CDDCECD19129}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{43954783-6699-41B8-9F40-0414BEC5E858}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Option Button 1">
              <controlPr defaultSize="0" autoFill="0" autoLine="0" autoPict="0">
                <anchor moveWithCells="1">
                  <from>
                    <xdr:col>9</xdr:col>
                    <xdr:colOff>182880</xdr:colOff>
                    <xdr:row>2</xdr:row>
                    <xdr:rowOff>83820</xdr:rowOff>
                  </from>
                  <to>
                    <xdr:col>11</xdr:col>
                    <xdr:colOff>144780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11</xdr:col>
                    <xdr:colOff>297180</xdr:colOff>
                    <xdr:row>2</xdr:row>
                    <xdr:rowOff>91440</xdr:rowOff>
                  </from>
                  <to>
                    <xdr:col>13</xdr:col>
                    <xdr:colOff>213360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13</xdr:col>
                    <xdr:colOff>365760</xdr:colOff>
                    <xdr:row>2</xdr:row>
                    <xdr:rowOff>91440</xdr:rowOff>
                  </from>
                  <to>
                    <xdr:col>15</xdr:col>
                    <xdr:colOff>335280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Drop Down 4">
              <controlPr defaultSize="0" autoLine="0" autoPict="0">
                <anchor moveWithCells="1">
                  <from>
                    <xdr:col>12</xdr:col>
                    <xdr:colOff>228600</xdr:colOff>
                    <xdr:row>3</xdr:row>
                    <xdr:rowOff>167640</xdr:rowOff>
                  </from>
                  <to>
                    <xdr:col>14</xdr:col>
                    <xdr:colOff>198120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Scroll Bar 5">
              <controlPr defaultSize="0" autoPict="0">
                <anchor moveWithCells="1">
                  <from>
                    <xdr:col>2</xdr:col>
                    <xdr:colOff>121920</xdr:colOff>
                    <xdr:row>13</xdr:row>
                    <xdr:rowOff>45720</xdr:rowOff>
                  </from>
                  <to>
                    <xdr:col>6</xdr:col>
                    <xdr:colOff>586740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A82C45-5521-4215-A52E-CDDCECD191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954783-6699-41B8-9F40-0414BEC5E8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 xr2:uid="{D3A3F955-E098-43FF-A347-678D22B0757B}">
          <x14:colorSeries theme="4" tint="-0.49998474074526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Dashboard!C$26:C$32</xm:f>
              <xm:sqref>C34</xm:sqref>
            </x14:sparkline>
            <x14:sparkline>
              <xm:f>Dashboard!D$26:D$32</xm:f>
              <xm:sqref>D34</xm:sqref>
            </x14:sparkline>
            <x14:sparkline>
              <xm:f>Dashboard!E$26:E$32</xm:f>
              <xm:sqref>E34</xm:sqref>
            </x14:sparkline>
          </x14:sparklines>
        </x14:sparklineGroup>
        <x14:sparklineGroup lineWeight="1.5" displayEmptyCellsAs="gap" xr2:uid="{83F4DBA6-BE83-4C01-9380-BC77CAE90BB0}">
          <x14:colorSeries theme="4" tint="-0.249977111117893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Dashboard!$C20:$I20</xm:f>
              <xm:sqref>J20</xm:sqref>
            </x14:sparkline>
            <x14:sparkline>
              <xm:f>Dashboard!$C21:$I21</xm:f>
              <xm:sqref>J21</xm:sqref>
            </x14:sparkline>
            <x14:sparkline>
              <xm:f>Dashboard!$C22:$I22</xm:f>
              <xm:sqref>J22</xm:sqref>
            </x14:sparkline>
            <x14:sparkline>
              <xm:f>Dashboard!$C23:$I23</xm:f>
              <xm:sqref>J23</xm:sqref>
            </x14:sparkline>
          </x14:sparklines>
        </x14:sparklineGroup>
        <x14:sparklineGroup type="column" displayEmptyCellsAs="gap" xr2:uid="{E7997390-58B5-41F9-B524-72AF436987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Dashboard!$C26:$E26</xm:f>
              <xm:sqref>G26</xm:sqref>
            </x14:sparkline>
            <x14:sparkline>
              <xm:f>Dashboard!$C27:$E27</xm:f>
              <xm:sqref>G27</xm:sqref>
            </x14:sparkline>
            <x14:sparkline>
              <xm:f>Dashboard!$C28:$E28</xm:f>
              <xm:sqref>G28</xm:sqref>
            </x14:sparkline>
            <x14:sparkline>
              <xm:f>Dashboard!$C29:$E29</xm:f>
              <xm:sqref>G29</xm:sqref>
            </x14:sparkline>
            <x14:sparkline>
              <xm:f>Dashboard!$C30:$E30</xm:f>
              <xm:sqref>G30</xm:sqref>
            </x14:sparkline>
            <x14:sparkline>
              <xm:f>Dashboard!$C31:$E31</xm:f>
              <xm:sqref>G31</xm:sqref>
            </x14:sparkline>
            <x14:sparkline>
              <xm:f>Dashboard!$C32:$E32</xm:f>
              <xm:sqref>G32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RawData</vt:lpstr>
      <vt:lpstr>Dashboard</vt:lpstr>
      <vt:lpstr>Finance</vt:lpstr>
      <vt:lpstr>Finance_Data</vt:lpstr>
      <vt:lpstr>HR</vt:lpstr>
      <vt:lpstr>HR_Data</vt:lpstr>
      <vt:lpstr>Operation</vt:lpstr>
      <vt:lpstr>Operation_Data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Sanjida Aziz</cp:lastModifiedBy>
  <dcterms:created xsi:type="dcterms:W3CDTF">2019-05-31T03:20:43Z</dcterms:created>
  <dcterms:modified xsi:type="dcterms:W3CDTF">2024-12-02T20:44:31Z</dcterms:modified>
</cp:coreProperties>
</file>